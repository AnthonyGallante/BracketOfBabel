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Misc\March Madness Website\resources\"/>
    </mc:Choice>
  </mc:AlternateContent>
  <xr:revisionPtr revIDLastSave="0" documentId="13_ncr:1_{6E630159-1474-4F20-A510-17DB5D4EDE2B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Team_Links" sheetId="6" r:id="rId1"/>
    <sheet name="2024 Roster (Wikipedia)" sheetId="4" r:id="rId2"/>
    <sheet name="Teams" sheetId="3" r:id="rId3"/>
    <sheet name="Games" sheetId="2" r:id="rId4"/>
    <sheet name="Bracket" sheetId="1" r:id="rId5"/>
  </sheets>
  <externalReferences>
    <externalReference r:id="rId6"/>
  </externalReferences>
  <definedNames>
    <definedName name="All_Teams">OFFSET(Games!#REF!,0,0,COUNTA(Games!#REF!)-1,1)</definedName>
    <definedName name="ExternalData_1" localSheetId="1" hidden="1">'2024 Roster (Wikipedia)'!$A$2:$G$18</definedName>
    <definedName name="ExternalData_1" localSheetId="0" hidden="1">Team_Links!$A$1:$D$366</definedName>
    <definedName name="ExternalData_2" localSheetId="1" hidden="1">'2024 Roster (Wikipedia)'!$I$2:$O$18</definedName>
    <definedName name="ExternalData_3" localSheetId="1" hidden="1">'2024 Roster (Wikipedia)'!$Q$2:$W$18</definedName>
    <definedName name="ExternalData_4" localSheetId="1" hidden="1">'2024 Roster (Wikipedia)'!$Y$2:$AE$18</definedName>
    <definedName name="Method">Games!#REF!</definedName>
    <definedName name="_xlnm.Print_Area" localSheetId="4">Bracket!$B$1:$AN$67</definedName>
    <definedName name="_xlnm.Print_Area" localSheetId="3">Games!$A$1:$O$77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L8" i="2"/>
  <c r="O8" i="2" s="1"/>
  <c r="I8" i="2"/>
  <c r="G8" i="2"/>
  <c r="K8" i="2" s="1"/>
  <c r="F8" i="2" a="1"/>
  <c r="F8" i="2" s="1"/>
  <c r="D8" i="2"/>
  <c r="B8" i="2"/>
  <c r="A8" i="2"/>
  <c r="N7" i="2"/>
  <c r="L7" i="2"/>
  <c r="O7" i="2" s="1"/>
  <c r="I7" i="2"/>
  <c r="G7" i="2"/>
  <c r="K7" i="2" s="1"/>
  <c r="F7" i="2" a="1"/>
  <c r="F7" i="2" s="1"/>
  <c r="D7" i="2"/>
  <c r="B7" i="2"/>
  <c r="A7" i="2"/>
  <c r="N6" i="2"/>
  <c r="L6" i="2"/>
  <c r="O6" i="2" s="1"/>
  <c r="I6" i="2"/>
  <c r="G6" i="2"/>
  <c r="K6" i="2" s="1"/>
  <c r="F6" i="2" a="1"/>
  <c r="F6" i="2" s="1"/>
  <c r="D6" i="2"/>
  <c r="B6" i="2"/>
  <c r="A6" i="2"/>
  <c r="N5" i="2"/>
  <c r="L5" i="2"/>
  <c r="O5" i="2" s="1"/>
  <c r="I5" i="2"/>
  <c r="G5" i="2"/>
  <c r="D5" i="2"/>
  <c r="D10" i="2"/>
  <c r="G10" i="2"/>
  <c r="I10" i="2"/>
  <c r="B10" i="2" s="1"/>
  <c r="J10" i="2" a="1"/>
  <c r="J10" i="2" s="1"/>
  <c r="K10" i="2"/>
  <c r="L10" i="2"/>
  <c r="M10" i="2"/>
  <c r="N10" i="2"/>
  <c r="E7" i="1" s="1"/>
  <c r="D11" i="2"/>
  <c r="G11" i="2"/>
  <c r="I11" i="2"/>
  <c r="B11" i="2" s="1"/>
  <c r="J11" i="2" a="1"/>
  <c r="J11" i="2" s="1"/>
  <c r="K11" i="2"/>
  <c r="L11" i="2"/>
  <c r="E9" i="1" s="1"/>
  <c r="M11" i="2"/>
  <c r="N11" i="2"/>
  <c r="O11" i="2" s="1"/>
  <c r="D12" i="2"/>
  <c r="G12" i="2"/>
  <c r="I12" i="2"/>
  <c r="K12" i="2"/>
  <c r="L12" i="2"/>
  <c r="M12" i="2"/>
  <c r="N12" i="2"/>
  <c r="E15" i="1" s="1"/>
  <c r="I18" i="2"/>
  <c r="G19" i="2"/>
  <c r="I19" i="2"/>
  <c r="G20" i="2"/>
  <c r="I20" i="2"/>
  <c r="G21" i="2"/>
  <c r="I21" i="2"/>
  <c r="G22" i="2"/>
  <c r="I22" i="2"/>
  <c r="G23" i="2"/>
  <c r="G18" i="2"/>
  <c r="E2" i="6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L77" i="2"/>
  <c r="V27" i="1" s="1"/>
  <c r="L75" i="2"/>
  <c r="Y19" i="1" s="1"/>
  <c r="L74" i="2"/>
  <c r="Q19" i="1" s="1"/>
  <c r="L72" i="2"/>
  <c r="AB43" i="1" s="1"/>
  <c r="L71" i="2"/>
  <c r="AB11" i="1" s="1"/>
  <c r="L70" i="2"/>
  <c r="N43" i="1" s="1"/>
  <c r="L69" i="2"/>
  <c r="N11" i="1" s="1"/>
  <c r="L67" i="2"/>
  <c r="AE55" i="1" s="1"/>
  <c r="L66" i="2"/>
  <c r="AE39" i="1" s="1"/>
  <c r="L65" i="2"/>
  <c r="AE23" i="1" s="1"/>
  <c r="L64" i="2"/>
  <c r="AE7" i="1" s="1"/>
  <c r="L63" i="2"/>
  <c r="K55" i="1" s="1"/>
  <c r="L62" i="2"/>
  <c r="K39" i="1" s="1"/>
  <c r="L61" i="2"/>
  <c r="K23" i="1" s="1"/>
  <c r="L60" i="2"/>
  <c r="K7" i="1" s="1"/>
  <c r="L58" i="2"/>
  <c r="AH61" i="1" s="1"/>
  <c r="L57" i="2"/>
  <c r="AH53" i="1" s="1"/>
  <c r="L56" i="2"/>
  <c r="AH45" i="1" s="1"/>
  <c r="L55" i="2"/>
  <c r="AH37" i="1" s="1"/>
  <c r="L54" i="2"/>
  <c r="AH29" i="1" s="1"/>
  <c r="L53" i="2"/>
  <c r="AH21" i="1" s="1"/>
  <c r="L52" i="2"/>
  <c r="AH13" i="1" s="1"/>
  <c r="L51" i="2"/>
  <c r="AH5" i="1" s="1"/>
  <c r="L50" i="2"/>
  <c r="H61" i="1" s="1"/>
  <c r="L49" i="2"/>
  <c r="H53" i="1" s="1"/>
  <c r="L48" i="2"/>
  <c r="H45" i="1" s="1"/>
  <c r="L47" i="2"/>
  <c r="H37" i="1" s="1"/>
  <c r="L46" i="2"/>
  <c r="H29" i="1" s="1"/>
  <c r="L45" i="2"/>
  <c r="H21" i="1" s="1"/>
  <c r="L44" i="2"/>
  <c r="H13" i="1" s="1"/>
  <c r="L43" i="2"/>
  <c r="H5" i="1" s="1"/>
  <c r="L41" i="2"/>
  <c r="AK65" i="1" s="1"/>
  <c r="L40" i="2"/>
  <c r="L39" i="2"/>
  <c r="AK57" i="1" s="1"/>
  <c r="L38" i="2"/>
  <c r="AK53" i="1" s="1"/>
  <c r="L37" i="2"/>
  <c r="AK49" i="1" s="1"/>
  <c r="L36" i="2"/>
  <c r="AK45" i="1" s="1"/>
  <c r="L35" i="2"/>
  <c r="AK41" i="1" s="1"/>
  <c r="L34" i="2"/>
  <c r="AK37" i="1" s="1"/>
  <c r="L33" i="2"/>
  <c r="L32" i="2"/>
  <c r="L31" i="2"/>
  <c r="AK25" i="1" s="1"/>
  <c r="L30" i="2"/>
  <c r="AK21" i="1" s="1"/>
  <c r="L29" i="2"/>
  <c r="AK17" i="1" s="1"/>
  <c r="L28" i="2"/>
  <c r="AK13" i="1" s="1"/>
  <c r="L27" i="2"/>
  <c r="AK9" i="1" s="1"/>
  <c r="L26" i="2"/>
  <c r="AK5" i="1" s="1"/>
  <c r="L25" i="2"/>
  <c r="L24" i="2"/>
  <c r="L23" i="2"/>
  <c r="L22" i="2"/>
  <c r="L21" i="2"/>
  <c r="L20" i="2"/>
  <c r="L19" i="2"/>
  <c r="L18" i="2"/>
  <c r="L17" i="2"/>
  <c r="L16" i="2"/>
  <c r="L15" i="2"/>
  <c r="E25" i="1" s="1"/>
  <c r="L14" i="2"/>
  <c r="L13" i="2"/>
  <c r="F59" i="2"/>
  <c r="N77" i="2"/>
  <c r="T39" i="1" s="1"/>
  <c r="N75" i="2"/>
  <c r="Y51" i="1" s="1"/>
  <c r="N74" i="2"/>
  <c r="Q51" i="1" s="1"/>
  <c r="N72" i="2"/>
  <c r="AB59" i="1" s="1"/>
  <c r="N71" i="2"/>
  <c r="AB27" i="1" s="1"/>
  <c r="N70" i="2"/>
  <c r="N59" i="1" s="1"/>
  <c r="N69" i="2"/>
  <c r="N27" i="1" s="1"/>
  <c r="N67" i="2"/>
  <c r="AE63" i="1" s="1"/>
  <c r="N66" i="2"/>
  <c r="AE47" i="1" s="1"/>
  <c r="N65" i="2"/>
  <c r="AE31" i="1" s="1"/>
  <c r="N64" i="2"/>
  <c r="AE15" i="1" s="1"/>
  <c r="N63" i="2"/>
  <c r="K63" i="1" s="1"/>
  <c r="N62" i="2"/>
  <c r="K47" i="1" s="1"/>
  <c r="N61" i="2"/>
  <c r="K31" i="1" s="1"/>
  <c r="N60" i="2"/>
  <c r="K15" i="1" s="1"/>
  <c r="N58" i="2"/>
  <c r="AH65" i="1" s="1"/>
  <c r="N57" i="2"/>
  <c r="AH57" i="1" s="1"/>
  <c r="N56" i="2"/>
  <c r="AH49" i="1" s="1"/>
  <c r="N55" i="2"/>
  <c r="AH41" i="1" s="1"/>
  <c r="N54" i="2"/>
  <c r="AH33" i="1" s="1"/>
  <c r="N53" i="2"/>
  <c r="AH25" i="1" s="1"/>
  <c r="N52" i="2"/>
  <c r="AH17" i="1" s="1"/>
  <c r="N51" i="2"/>
  <c r="AH9" i="1" s="1"/>
  <c r="N50" i="2"/>
  <c r="H65" i="1" s="1"/>
  <c r="N49" i="2"/>
  <c r="H57" i="1" s="1"/>
  <c r="N48" i="2"/>
  <c r="H49" i="1" s="1"/>
  <c r="N47" i="2"/>
  <c r="H41" i="1" s="1"/>
  <c r="N46" i="2"/>
  <c r="H33" i="1" s="1"/>
  <c r="N45" i="2"/>
  <c r="H25" i="1" s="1"/>
  <c r="N44" i="2"/>
  <c r="H17" i="1" s="1"/>
  <c r="N43" i="2"/>
  <c r="H9" i="1" s="1"/>
  <c r="N41" i="2"/>
  <c r="AK67" i="1" s="1"/>
  <c r="N40" i="2"/>
  <c r="AK63" i="1" s="1"/>
  <c r="N39" i="2"/>
  <c r="AK59" i="1" s="1"/>
  <c r="N38" i="2"/>
  <c r="AK55" i="1" s="1"/>
  <c r="N37" i="2"/>
  <c r="AK51" i="1" s="1"/>
  <c r="N36" i="2"/>
  <c r="AK47" i="1" s="1"/>
  <c r="N35" i="2"/>
  <c r="AK43" i="1" s="1"/>
  <c r="N34" i="2"/>
  <c r="AK39" i="1" s="1"/>
  <c r="N33" i="2"/>
  <c r="AK35" i="1" s="1"/>
  <c r="N32" i="2"/>
  <c r="AK31" i="1" s="1"/>
  <c r="N31" i="2"/>
  <c r="AK27" i="1" s="1"/>
  <c r="N30" i="2"/>
  <c r="AK23" i="1" s="1"/>
  <c r="N29" i="2"/>
  <c r="AK19" i="1" s="1"/>
  <c r="N28" i="2"/>
  <c r="AK15" i="1" s="1"/>
  <c r="N27" i="2"/>
  <c r="AK11" i="1" s="1"/>
  <c r="N26" i="2"/>
  <c r="AK7" i="1" s="1"/>
  <c r="N25" i="2"/>
  <c r="E67" i="1" s="1"/>
  <c r="N24" i="2"/>
  <c r="E63" i="1" s="1"/>
  <c r="N23" i="2"/>
  <c r="E59" i="1" s="1"/>
  <c r="N22" i="2"/>
  <c r="E55" i="1" s="1"/>
  <c r="N21" i="2"/>
  <c r="E51" i="1" s="1"/>
  <c r="N20" i="2"/>
  <c r="E47" i="1" s="1"/>
  <c r="N19" i="2"/>
  <c r="E43" i="1" s="1"/>
  <c r="N18" i="2"/>
  <c r="E39" i="1" s="1"/>
  <c r="N17" i="2"/>
  <c r="E35" i="1" s="1"/>
  <c r="N16" i="2"/>
  <c r="E31" i="1" s="1"/>
  <c r="N15" i="2"/>
  <c r="E27" i="1" s="1"/>
  <c r="N14" i="2"/>
  <c r="E23" i="1" s="1"/>
  <c r="N13" i="2"/>
  <c r="E19" i="1" s="1"/>
  <c r="F42" i="2"/>
  <c r="F68" i="2"/>
  <c r="F73" i="2"/>
  <c r="F76" i="2"/>
  <c r="AJ2" i="1"/>
  <c r="AM2" i="1"/>
  <c r="P8" i="2" l="1"/>
  <c r="C8" i="2"/>
  <c r="M8" i="2"/>
  <c r="J8" i="2" a="1"/>
  <c r="J8" i="2" s="1"/>
  <c r="R8" i="2" s="1"/>
  <c r="P7" i="2"/>
  <c r="C7" i="2"/>
  <c r="M7" i="2"/>
  <c r="J7" i="2" a="1"/>
  <c r="J7" i="2" s="1"/>
  <c r="R7" i="2" s="1"/>
  <c r="P6" i="2"/>
  <c r="C6" i="2"/>
  <c r="M6" i="2"/>
  <c r="J6" i="2" a="1"/>
  <c r="J6" i="2" s="1"/>
  <c r="R6" i="2" s="1"/>
  <c r="P5" i="2"/>
  <c r="B5" i="2"/>
  <c r="J5" i="2" a="1"/>
  <c r="J5" i="2" s="1"/>
  <c r="R5" i="2" s="1"/>
  <c r="M5" i="2"/>
  <c r="K5" i="2"/>
  <c r="F5" i="2" a="1"/>
  <c r="F5" i="2" s="1"/>
  <c r="A5" i="2"/>
  <c r="C5" i="2" s="1"/>
  <c r="O12" i="2"/>
  <c r="P12" i="2" s="1"/>
  <c r="O10" i="2"/>
  <c r="A10" i="2"/>
  <c r="F10" i="2" a="1"/>
  <c r="F10" i="2" s="1"/>
  <c r="A11" i="2"/>
  <c r="C11" i="2" s="1"/>
  <c r="F11" i="2" a="1"/>
  <c r="F11" i="2" s="1"/>
  <c r="R11" i="2" s="1"/>
  <c r="P11" i="2"/>
  <c r="F12" i="2" a="1"/>
  <c r="F12" i="2" s="1"/>
  <c r="A12" i="2"/>
  <c r="J12" i="2" a="1"/>
  <c r="J12" i="2" s="1"/>
  <c r="B12" i="2"/>
  <c r="D61" i="3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9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8" i="2" s="1"/>
  <c r="D21" i="3"/>
  <c r="E21" i="3" s="1"/>
  <c r="M19" i="2" s="1"/>
  <c r="D22" i="3"/>
  <c r="E22" i="3" s="1"/>
  <c r="K20" i="2" s="1"/>
  <c r="D23" i="3"/>
  <c r="E23" i="3" s="1"/>
  <c r="M20" i="2" s="1"/>
  <c r="D24" i="3"/>
  <c r="E24" i="3" s="1"/>
  <c r="K21" i="2" s="1"/>
  <c r="D25" i="3"/>
  <c r="E25" i="3" s="1"/>
  <c r="M21" i="2" s="1"/>
  <c r="D26" i="3"/>
  <c r="E26" i="3" s="1"/>
  <c r="K22" i="2" s="1"/>
  <c r="D27" i="3"/>
  <c r="E27" i="3" s="1"/>
  <c r="M22" i="2" s="1"/>
  <c r="D28" i="3"/>
  <c r="E28" i="3" s="1"/>
  <c r="K23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G13" i="2"/>
  <c r="D9" i="3"/>
  <c r="E9" i="3" s="1"/>
  <c r="I13" i="2"/>
  <c r="D10" i="3"/>
  <c r="E10" i="3" s="1"/>
  <c r="G14" i="2"/>
  <c r="I14" i="2"/>
  <c r="D11" i="3"/>
  <c r="E11" i="3" s="1"/>
  <c r="M14" i="2" s="1"/>
  <c r="G15" i="2"/>
  <c r="D12" i="3"/>
  <c r="E12" i="3" s="1"/>
  <c r="K15" i="2" s="1"/>
  <c r="I15" i="2"/>
  <c r="D13" i="3"/>
  <c r="E13" i="3" s="1"/>
  <c r="M15" i="2" s="1"/>
  <c r="G16" i="2"/>
  <c r="D14" i="3"/>
  <c r="E14" i="3" s="1"/>
  <c r="K16" i="2" s="1"/>
  <c r="I16" i="2"/>
  <c r="J16" i="2" s="1" a="1"/>
  <c r="J16" i="2" s="1"/>
  <c r="D15" i="3"/>
  <c r="E15" i="3" s="1"/>
  <c r="G17" i="2"/>
  <c r="D16" i="3"/>
  <c r="E16" i="3" s="1"/>
  <c r="I17" i="2"/>
  <c r="D17" i="3"/>
  <c r="E17" i="3" s="1"/>
  <c r="I23" i="2"/>
  <c r="J23" i="2" s="1" a="1"/>
  <c r="J23" i="2" s="1"/>
  <c r="D29" i="3"/>
  <c r="E29" i="3" s="1"/>
  <c r="G24" i="2"/>
  <c r="D30" i="3"/>
  <c r="E30" i="3" s="1"/>
  <c r="C47" i="1"/>
  <c r="C39" i="1"/>
  <c r="C51" i="1"/>
  <c r="C55" i="1"/>
  <c r="C57" i="1"/>
  <c r="I24" i="2"/>
  <c r="G25" i="2"/>
  <c r="I25" i="2"/>
  <c r="G26" i="2"/>
  <c r="I26" i="2"/>
  <c r="G27" i="2"/>
  <c r="I27" i="2"/>
  <c r="G28" i="2"/>
  <c r="I28" i="2"/>
  <c r="G29" i="2"/>
  <c r="I29" i="2"/>
  <c r="G30" i="2"/>
  <c r="I30" i="2"/>
  <c r="G31" i="2"/>
  <c r="I31" i="2"/>
  <c r="G32" i="2"/>
  <c r="I32" i="2"/>
  <c r="G33" i="2"/>
  <c r="I33" i="2"/>
  <c r="G34" i="2"/>
  <c r="I34" i="2"/>
  <c r="G35" i="2"/>
  <c r="I35" i="2"/>
  <c r="G36" i="2"/>
  <c r="I36" i="2"/>
  <c r="G37" i="2"/>
  <c r="I37" i="2"/>
  <c r="G38" i="2"/>
  <c r="I38" i="2"/>
  <c r="G39" i="2"/>
  <c r="I39" i="2"/>
  <c r="G40" i="2"/>
  <c r="I40" i="2"/>
  <c r="G41" i="2"/>
  <c r="I41" i="2"/>
  <c r="O40" i="2"/>
  <c r="AK61" i="1"/>
  <c r="AK33" i="1"/>
  <c r="AK29" i="1"/>
  <c r="E65" i="1"/>
  <c r="E61" i="1"/>
  <c r="E57" i="1"/>
  <c r="O22" i="2"/>
  <c r="E53" i="1"/>
  <c r="O21" i="2"/>
  <c r="E49" i="1"/>
  <c r="O20" i="2"/>
  <c r="E45" i="1"/>
  <c r="O19" i="2"/>
  <c r="E41" i="1"/>
  <c r="E37" i="1"/>
  <c r="O18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F23" i="2" a="1"/>
  <c r="F23" i="2" s="1"/>
  <c r="F21" i="2" a="1"/>
  <c r="F21" i="2" s="1"/>
  <c r="F18" i="2" a="1"/>
  <c r="F18" i="2" s="1"/>
  <c r="F19" i="2" a="1"/>
  <c r="F19" i="2" s="1"/>
  <c r="F20" i="2" a="1"/>
  <c r="F20" i="2" s="1"/>
  <c r="F22" i="2" a="1"/>
  <c r="F22" i="2" s="1"/>
  <c r="AU5" i="1"/>
  <c r="R10" i="2" l="1"/>
  <c r="C10" i="2"/>
  <c r="P10" i="2"/>
  <c r="R12" i="2"/>
  <c r="C12" i="2"/>
  <c r="K34" i="2"/>
  <c r="M35" i="2"/>
  <c r="K41" i="2"/>
  <c r="K35" i="2"/>
  <c r="K40" i="2"/>
  <c r="K39" i="2"/>
  <c r="K32" i="2"/>
  <c r="M39" i="2"/>
  <c r="K18" i="2"/>
  <c r="K17" i="2"/>
  <c r="M23" i="2"/>
  <c r="K24" i="2"/>
  <c r="K13" i="2"/>
  <c r="M16" i="2"/>
  <c r="M34" i="2"/>
  <c r="K37" i="2"/>
  <c r="M40" i="2"/>
  <c r="P40" i="2"/>
  <c r="C11" i="1"/>
  <c r="D11" i="1" s="1"/>
  <c r="C23" i="1"/>
  <c r="J14" i="2" a="1"/>
  <c r="J14" i="2" s="1"/>
  <c r="D47" i="1"/>
  <c r="D23" i="1"/>
  <c r="D39" i="1"/>
  <c r="D51" i="1"/>
  <c r="K26" i="2"/>
  <c r="K28" i="2"/>
  <c r="K29" i="2"/>
  <c r="D55" i="1"/>
  <c r="D57" i="1"/>
  <c r="K25" i="2"/>
  <c r="M25" i="2"/>
  <c r="M26" i="2"/>
  <c r="M27" i="2"/>
  <c r="M28" i="2"/>
  <c r="K33" i="2"/>
  <c r="M33" i="2"/>
  <c r="K38" i="2"/>
  <c r="M38" i="2"/>
  <c r="K36" i="2"/>
  <c r="M37" i="2"/>
  <c r="P19" i="2"/>
  <c r="P18" i="2"/>
  <c r="D41" i="1"/>
  <c r="D43" i="1"/>
  <c r="D31" i="1"/>
  <c r="C5" i="1"/>
  <c r="D5" i="1" s="1"/>
  <c r="F13" i="2" a="1"/>
  <c r="F13" i="2" s="1"/>
  <c r="C17" i="1"/>
  <c r="D17" i="1" s="1"/>
  <c r="J13" i="2" a="1"/>
  <c r="J13" i="2" s="1"/>
  <c r="C19" i="1"/>
  <c r="D19" i="1" s="1"/>
  <c r="M13" i="2"/>
  <c r="O13" i="2"/>
  <c r="F14" i="2" a="1"/>
  <c r="F14" i="2" s="1"/>
  <c r="C21" i="1"/>
  <c r="D21" i="1" s="1"/>
  <c r="K14" i="2"/>
  <c r="O14" i="2"/>
  <c r="C25" i="1"/>
  <c r="D25" i="1" s="1"/>
  <c r="F15" i="2" a="1"/>
  <c r="F15" i="2" s="1"/>
  <c r="O15" i="2"/>
  <c r="C27" i="1"/>
  <c r="D27" i="1" s="1"/>
  <c r="J15" i="2" a="1"/>
  <c r="J15" i="2" s="1"/>
  <c r="O16" i="2"/>
  <c r="P16" i="2" s="1"/>
  <c r="C29" i="1"/>
  <c r="D29" i="1" s="1"/>
  <c r="F16" i="2" a="1"/>
  <c r="F16" i="2" s="1"/>
  <c r="O17" i="2"/>
  <c r="C33" i="1"/>
  <c r="D33" i="1" s="1"/>
  <c r="F17" i="2" a="1"/>
  <c r="F17" i="2" s="1"/>
  <c r="M17" i="2"/>
  <c r="C35" i="1"/>
  <c r="D35" i="1" s="1"/>
  <c r="J17" i="2" a="1"/>
  <c r="J17" i="2" s="1"/>
  <c r="C61" i="1"/>
  <c r="D61" i="1" s="1"/>
  <c r="F24" i="2" a="1"/>
  <c r="F24" i="2" s="1"/>
  <c r="K31" i="2"/>
  <c r="M32" i="2"/>
  <c r="P22" i="2"/>
  <c r="P21" i="2"/>
  <c r="P20" i="2"/>
  <c r="D53" i="1"/>
  <c r="D49" i="1"/>
  <c r="D45" i="1"/>
  <c r="D37" i="1"/>
  <c r="C7" i="1"/>
  <c r="D7" i="1" s="1"/>
  <c r="C9" i="1"/>
  <c r="D9" i="1" s="1"/>
  <c r="C13" i="1"/>
  <c r="D13" i="1" s="1"/>
  <c r="C15" i="1"/>
  <c r="D15" i="1" s="1"/>
  <c r="O23" i="2"/>
  <c r="C59" i="1"/>
  <c r="D59" i="1" s="1"/>
  <c r="M41" i="2"/>
  <c r="AM67" i="1"/>
  <c r="AL67" i="1" s="1"/>
  <c r="O39" i="2"/>
  <c r="P39" i="2" s="1"/>
  <c r="O24" i="2"/>
  <c r="P24" i="2" s="1"/>
  <c r="M24" i="2"/>
  <c r="O27" i="2"/>
  <c r="K27" i="2"/>
  <c r="AM19" i="1"/>
  <c r="AL19" i="1" s="1"/>
  <c r="O29" i="2"/>
  <c r="P29" i="2" s="1"/>
  <c r="J29" i="2" a="1"/>
  <c r="J29" i="2" s="1"/>
  <c r="M29" i="2"/>
  <c r="AM21" i="1"/>
  <c r="AL21" i="1" s="1"/>
  <c r="O30" i="2"/>
  <c r="P30" i="2" s="1"/>
  <c r="F30" i="2" a="1"/>
  <c r="F30" i="2" s="1"/>
  <c r="K30" i="2"/>
  <c r="AM23" i="1"/>
  <c r="AL23" i="1" s="1"/>
  <c r="J30" i="2" a="1"/>
  <c r="J30" i="2" s="1"/>
  <c r="M30" i="2"/>
  <c r="J31" i="2" a="1"/>
  <c r="J31" i="2" s="1"/>
  <c r="M31" i="2"/>
  <c r="O36" i="2"/>
  <c r="M36" i="2"/>
  <c r="O33" i="2"/>
  <c r="P33" i="2" s="1"/>
  <c r="O31" i="2"/>
  <c r="P31" i="2" s="1"/>
  <c r="AM27" i="1"/>
  <c r="AL27" i="1" s="1"/>
  <c r="O32" i="2"/>
  <c r="P32" i="2" s="1"/>
  <c r="AM31" i="1"/>
  <c r="AL31" i="1" s="1"/>
  <c r="J32" i="2" a="1"/>
  <c r="J32" i="2" s="1"/>
  <c r="AM35" i="1"/>
  <c r="AL35" i="1" s="1"/>
  <c r="J33" i="2" a="1"/>
  <c r="J33" i="2" s="1"/>
  <c r="C63" i="1"/>
  <c r="D63" i="1" s="1"/>
  <c r="J24" i="2" a="1"/>
  <c r="J24" i="2" s="1"/>
  <c r="C65" i="1"/>
  <c r="D65" i="1" s="1"/>
  <c r="F25" i="2" a="1"/>
  <c r="F25" i="2" s="1"/>
  <c r="C67" i="1"/>
  <c r="D67" i="1" s="1"/>
  <c r="O25" i="2"/>
  <c r="P25" i="2" s="1"/>
  <c r="J25" i="2" a="1"/>
  <c r="J25" i="2" s="1"/>
  <c r="O26" i="2"/>
  <c r="P26" i="2" s="1"/>
  <c r="AM7" i="1"/>
  <c r="AL7" i="1" s="1"/>
  <c r="J26" i="2" a="1"/>
  <c r="J26" i="2" s="1"/>
  <c r="AM11" i="1"/>
  <c r="AL11" i="1" s="1"/>
  <c r="J27" i="2" a="1"/>
  <c r="J27" i="2" s="1"/>
  <c r="AM15" i="1"/>
  <c r="AL15" i="1" s="1"/>
  <c r="O28" i="2"/>
  <c r="P28" i="2" s="1"/>
  <c r="J28" i="2" a="1"/>
  <c r="J28" i="2" s="1"/>
  <c r="AM5" i="1"/>
  <c r="AL5" i="1" s="1"/>
  <c r="F26" i="2" a="1"/>
  <c r="F26" i="2" s="1"/>
  <c r="AM9" i="1"/>
  <c r="AL9" i="1" s="1"/>
  <c r="F27" i="2" a="1"/>
  <c r="F27" i="2" s="1"/>
  <c r="AM13" i="1"/>
  <c r="AL13" i="1" s="1"/>
  <c r="F28" i="2" a="1"/>
  <c r="F28" i="2" s="1"/>
  <c r="AM17" i="1"/>
  <c r="AL17" i="1" s="1"/>
  <c r="F29" i="2" a="1"/>
  <c r="F29" i="2" s="1"/>
  <c r="AM25" i="1"/>
  <c r="AL25" i="1" s="1"/>
  <c r="F31" i="2" a="1"/>
  <c r="F31" i="2" s="1"/>
  <c r="AM29" i="1"/>
  <c r="AL29" i="1" s="1"/>
  <c r="F32" i="2" a="1"/>
  <c r="F32" i="2" s="1"/>
  <c r="AM33" i="1"/>
  <c r="AL33" i="1" s="1"/>
  <c r="F33" i="2" a="1"/>
  <c r="F33" i="2" s="1"/>
  <c r="AM37" i="1"/>
  <c r="AL37" i="1" s="1"/>
  <c r="F34" i="2" a="1"/>
  <c r="F34" i="2" s="1"/>
  <c r="AM39" i="1"/>
  <c r="AL39" i="1" s="1"/>
  <c r="O34" i="2"/>
  <c r="P34" i="2" s="1"/>
  <c r="J34" i="2" a="1"/>
  <c r="J34" i="2" s="1"/>
  <c r="AM41" i="1"/>
  <c r="AL41" i="1" s="1"/>
  <c r="O35" i="2"/>
  <c r="P35" i="2" s="1"/>
  <c r="F35" i="2" a="1"/>
  <c r="F35" i="2" s="1"/>
  <c r="AM43" i="1"/>
  <c r="AL43" i="1" s="1"/>
  <c r="J35" i="2" a="1"/>
  <c r="J35" i="2" s="1"/>
  <c r="AM45" i="1"/>
  <c r="AL45" i="1" s="1"/>
  <c r="F36" i="2" a="1"/>
  <c r="F36" i="2" s="1"/>
  <c r="AM47" i="1"/>
  <c r="AL47" i="1" s="1"/>
  <c r="J36" i="2" a="1"/>
  <c r="J36" i="2" s="1"/>
  <c r="AM49" i="1"/>
  <c r="AL49" i="1" s="1"/>
  <c r="F37" i="2" a="1"/>
  <c r="F37" i="2" s="1"/>
  <c r="O37" i="2"/>
  <c r="P37" i="2" s="1"/>
  <c r="AM51" i="1"/>
  <c r="AL51" i="1" s="1"/>
  <c r="J37" i="2" a="1"/>
  <c r="J37" i="2" s="1"/>
  <c r="AM53" i="1"/>
  <c r="AL53" i="1" s="1"/>
  <c r="O38" i="2"/>
  <c r="P38" i="2" s="1"/>
  <c r="F38" i="2" a="1"/>
  <c r="F38" i="2" s="1"/>
  <c r="AM55" i="1"/>
  <c r="AL55" i="1" s="1"/>
  <c r="J38" i="2" a="1"/>
  <c r="J38" i="2" s="1"/>
  <c r="AM57" i="1"/>
  <c r="AL57" i="1" s="1"/>
  <c r="F39" i="2" a="1"/>
  <c r="F39" i="2" s="1"/>
  <c r="AM59" i="1"/>
  <c r="AL59" i="1" s="1"/>
  <c r="J39" i="2" a="1"/>
  <c r="J39" i="2" s="1"/>
  <c r="AM61" i="1"/>
  <c r="AL61" i="1" s="1"/>
  <c r="F40" i="2" a="1"/>
  <c r="F40" i="2" s="1"/>
  <c r="AM63" i="1"/>
  <c r="AL63" i="1" s="1"/>
  <c r="J40" i="2" a="1"/>
  <c r="J40" i="2" s="1"/>
  <c r="AM65" i="1"/>
  <c r="AL65" i="1" s="1"/>
  <c r="O41" i="2"/>
  <c r="P41" i="2" s="1"/>
  <c r="F41" i="2" a="1"/>
  <c r="F41" i="2" s="1"/>
  <c r="J41" i="2" a="1"/>
  <c r="J41" i="2" s="1"/>
  <c r="R22" i="2"/>
  <c r="R21" i="2"/>
  <c r="R20" i="2"/>
  <c r="R19" i="2"/>
  <c r="R18" i="2"/>
  <c r="G58" i="2"/>
  <c r="K58" i="2" s="1"/>
  <c r="AJ61" i="1"/>
  <c r="AI61" i="1" s="1"/>
  <c r="G49" i="2"/>
  <c r="K49" i="2" s="1"/>
  <c r="F53" i="1"/>
  <c r="G53" i="1" s="1"/>
  <c r="I48" i="2"/>
  <c r="M48" i="2" s="1"/>
  <c r="F49" i="1"/>
  <c r="G49" i="1" s="1"/>
  <c r="F37" i="1"/>
  <c r="G37" i="1" s="1"/>
  <c r="G47" i="2"/>
  <c r="K47" i="2" s="1"/>
  <c r="G48" i="2"/>
  <c r="K48" i="2" s="1"/>
  <c r="F45" i="1"/>
  <c r="G45" i="1" s="1"/>
  <c r="F41" i="1"/>
  <c r="G41" i="1" s="1"/>
  <c r="I47" i="2"/>
  <c r="M47" i="2" s="1"/>
  <c r="D60" i="2"/>
  <c r="D61" i="2"/>
  <c r="D62" i="2"/>
  <c r="D63" i="2"/>
  <c r="D64" i="2"/>
  <c r="D65" i="2"/>
  <c r="D66" i="2"/>
  <c r="D67" i="2"/>
  <c r="D77" i="2"/>
  <c r="D75" i="2"/>
  <c r="D74" i="2"/>
  <c r="D70" i="2"/>
  <c r="D71" i="2"/>
  <c r="D72" i="2"/>
  <c r="D69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43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B26" i="2"/>
  <c r="A26" i="2"/>
  <c r="B25" i="2"/>
  <c r="A25" i="2"/>
  <c r="B24" i="2"/>
  <c r="A24" i="2"/>
  <c r="B23" i="2"/>
  <c r="A23" i="2"/>
  <c r="B22" i="2"/>
  <c r="A22" i="2"/>
  <c r="B21" i="2"/>
  <c r="A21" i="2"/>
  <c r="C21" i="2" s="1"/>
  <c r="B20" i="2"/>
  <c r="A20" i="2"/>
  <c r="C20" i="2" s="1"/>
  <c r="B19" i="2"/>
  <c r="A19" i="2"/>
  <c r="C19" i="2" s="1"/>
  <c r="B18" i="2"/>
  <c r="A18" i="2"/>
  <c r="B17" i="2"/>
  <c r="A17" i="2"/>
  <c r="B16" i="2"/>
  <c r="A16" i="2"/>
  <c r="B15" i="2"/>
  <c r="A15" i="2"/>
  <c r="B14" i="2"/>
  <c r="A14" i="2"/>
  <c r="B13" i="2"/>
  <c r="A13" i="2"/>
  <c r="G43" i="2" l="1"/>
  <c r="F43" i="2" s="1" a="1"/>
  <c r="F43" i="2" s="1"/>
  <c r="F5" i="1"/>
  <c r="G5" i="1" s="1"/>
  <c r="P13" i="2"/>
  <c r="R13" i="2"/>
  <c r="I44" i="2"/>
  <c r="J44" i="2" s="1" a="1"/>
  <c r="J44" i="2" s="1"/>
  <c r="F17" i="1"/>
  <c r="G17" i="1" s="1"/>
  <c r="P14" i="2"/>
  <c r="R14" i="2"/>
  <c r="G45" i="2"/>
  <c r="F21" i="1"/>
  <c r="G21" i="1" s="1"/>
  <c r="P15" i="2"/>
  <c r="R15" i="2"/>
  <c r="I45" i="2"/>
  <c r="J45" i="2" s="1" a="1"/>
  <c r="J45" i="2" s="1"/>
  <c r="F25" i="1"/>
  <c r="G25" i="1" s="1"/>
  <c r="R16" i="2"/>
  <c r="F29" i="1"/>
  <c r="G29" i="1" s="1"/>
  <c r="G46" i="2"/>
  <c r="P17" i="2"/>
  <c r="R17" i="2"/>
  <c r="I46" i="2"/>
  <c r="J46" i="2" s="1" a="1"/>
  <c r="J46" i="2" s="1"/>
  <c r="F33" i="1"/>
  <c r="G33" i="1" s="1"/>
  <c r="C16" i="2"/>
  <c r="C13" i="2"/>
  <c r="I43" i="2"/>
  <c r="F9" i="1"/>
  <c r="G9" i="1" s="1"/>
  <c r="G44" i="2"/>
  <c r="F44" i="2" s="1" a="1"/>
  <c r="F44" i="2" s="1"/>
  <c r="F13" i="1"/>
  <c r="G13" i="1" s="1"/>
  <c r="P23" i="2"/>
  <c r="R23" i="2"/>
  <c r="F57" i="1"/>
  <c r="G57" i="1" s="1"/>
  <c r="I49" i="2"/>
  <c r="O49" i="2" s="1"/>
  <c r="P49" i="2" s="1"/>
  <c r="R40" i="2"/>
  <c r="P27" i="2"/>
  <c r="I51" i="2"/>
  <c r="J51" i="2" s="1" a="1"/>
  <c r="J51" i="2" s="1"/>
  <c r="AJ9" i="1"/>
  <c r="AI9" i="1" s="1"/>
  <c r="P36" i="2"/>
  <c r="G56" i="2"/>
  <c r="AJ45" i="1"/>
  <c r="AI45" i="1" s="1"/>
  <c r="R24" i="2"/>
  <c r="F61" i="1"/>
  <c r="G61" i="1" s="1"/>
  <c r="G50" i="2"/>
  <c r="F50" i="2" s="1" a="1"/>
  <c r="F50" i="2" s="1"/>
  <c r="F65" i="1"/>
  <c r="G65" i="1" s="1"/>
  <c r="R39" i="2"/>
  <c r="R27" i="2"/>
  <c r="R29" i="2"/>
  <c r="R36" i="2"/>
  <c r="I57" i="2"/>
  <c r="J57" i="2" s="1" a="1"/>
  <c r="J57" i="2" s="1"/>
  <c r="AJ57" i="1"/>
  <c r="AI57" i="1" s="1"/>
  <c r="AJ17" i="1"/>
  <c r="AI17" i="1" s="1"/>
  <c r="I52" i="2"/>
  <c r="R30" i="2"/>
  <c r="G53" i="2"/>
  <c r="AJ21" i="1"/>
  <c r="AI21" i="1" s="1"/>
  <c r="I54" i="2"/>
  <c r="AJ33" i="1"/>
  <c r="AI33" i="1" s="1"/>
  <c r="I53" i="2"/>
  <c r="AJ25" i="1"/>
  <c r="AI25" i="1" s="1"/>
  <c r="R25" i="2"/>
  <c r="I50" i="2"/>
  <c r="M50" i="2" s="1"/>
  <c r="J48" i="2" a="1"/>
  <c r="J48" i="2" s="1"/>
  <c r="G54" i="2"/>
  <c r="K54" i="2" s="1"/>
  <c r="AJ29" i="1"/>
  <c r="AI29" i="1" s="1"/>
  <c r="F58" i="2" a="1"/>
  <c r="F58" i="2" s="1"/>
  <c r="R33" i="2"/>
  <c r="R31" i="2"/>
  <c r="R32" i="2"/>
  <c r="R28" i="2"/>
  <c r="AJ13" i="1"/>
  <c r="AI13" i="1" s="1"/>
  <c r="G52" i="2"/>
  <c r="K52" i="2" s="1"/>
  <c r="I56" i="2"/>
  <c r="M56" i="2" s="1"/>
  <c r="AJ49" i="1"/>
  <c r="AI49" i="1" s="1"/>
  <c r="R26" i="2"/>
  <c r="G57" i="2"/>
  <c r="K57" i="2" s="1"/>
  <c r="AJ53" i="1"/>
  <c r="AI53" i="1" s="1"/>
  <c r="G51" i="2"/>
  <c r="K51" i="2" s="1"/>
  <c r="AJ5" i="1"/>
  <c r="I58" i="2"/>
  <c r="M58" i="2" s="1"/>
  <c r="AJ65" i="1"/>
  <c r="AI65" i="1" s="1"/>
  <c r="I55" i="2"/>
  <c r="M55" i="2" s="1"/>
  <c r="AJ41" i="1"/>
  <c r="AI41" i="1" s="1"/>
  <c r="R34" i="2"/>
  <c r="R35" i="2"/>
  <c r="R41" i="2"/>
  <c r="R38" i="2"/>
  <c r="R37" i="2"/>
  <c r="AJ37" i="1"/>
  <c r="AI37" i="1" s="1"/>
  <c r="G55" i="2"/>
  <c r="K55" i="2" s="1"/>
  <c r="O48" i="2"/>
  <c r="P48" i="2" s="1"/>
  <c r="A49" i="2"/>
  <c r="F49" i="2" a="1"/>
  <c r="F49" i="2" s="1"/>
  <c r="O47" i="2"/>
  <c r="P47" i="2" s="1"/>
  <c r="F47" i="2" a="1"/>
  <c r="F47" i="2" s="1"/>
  <c r="F48" i="2" a="1"/>
  <c r="F48" i="2" s="1"/>
  <c r="J47" i="2" a="1"/>
  <c r="J47" i="2" s="1"/>
  <c r="B47" i="2"/>
  <c r="C27" i="2"/>
  <c r="C28" i="2"/>
  <c r="C33" i="2"/>
  <c r="C35" i="2"/>
  <c r="C40" i="2"/>
  <c r="C41" i="2"/>
  <c r="C32" i="2"/>
  <c r="C25" i="2"/>
  <c r="C17" i="2"/>
  <c r="C38" i="2"/>
  <c r="C36" i="2"/>
  <c r="C26" i="2"/>
  <c r="C37" i="2"/>
  <c r="B48" i="2"/>
  <c r="C23" i="2"/>
  <c r="A48" i="2"/>
  <c r="C31" i="2"/>
  <c r="C30" i="2"/>
  <c r="C14" i="2"/>
  <c r="C22" i="2"/>
  <c r="E43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9" i="2"/>
  <c r="C29" i="2"/>
  <c r="C34" i="2"/>
  <c r="A47" i="2"/>
  <c r="C18" i="2"/>
  <c r="C24" i="2"/>
  <c r="A58" i="2"/>
  <c r="F46" i="2" l="1" a="1"/>
  <c r="F46" i="2" s="1"/>
  <c r="O46" i="2"/>
  <c r="O44" i="2"/>
  <c r="K45" i="2"/>
  <c r="A45" i="2"/>
  <c r="F45" i="2" a="1"/>
  <c r="F45" i="2" s="1"/>
  <c r="O45" i="2"/>
  <c r="O43" i="2"/>
  <c r="J43" i="2" a="1"/>
  <c r="J43" i="2" s="1"/>
  <c r="M46" i="2"/>
  <c r="B46" i="2"/>
  <c r="M49" i="2"/>
  <c r="J49" i="2" a="1"/>
  <c r="J49" i="2" s="1"/>
  <c r="R49" i="2" s="1"/>
  <c r="B49" i="2"/>
  <c r="C49" i="2" s="1"/>
  <c r="K43" i="2"/>
  <c r="A43" i="2"/>
  <c r="M44" i="2"/>
  <c r="B44" i="2"/>
  <c r="M45" i="2"/>
  <c r="B45" i="2"/>
  <c r="K46" i="2"/>
  <c r="A46" i="2"/>
  <c r="M43" i="2"/>
  <c r="B43" i="2"/>
  <c r="K44" i="2"/>
  <c r="A44" i="2"/>
  <c r="K56" i="2"/>
  <c r="A56" i="2"/>
  <c r="F56" i="2" a="1"/>
  <c r="F56" i="2" s="1"/>
  <c r="M51" i="2"/>
  <c r="B51" i="2"/>
  <c r="K50" i="2"/>
  <c r="A50" i="2"/>
  <c r="M57" i="2"/>
  <c r="B57" i="2"/>
  <c r="M52" i="2"/>
  <c r="J52" i="2" a="1"/>
  <c r="J52" i="2" s="1"/>
  <c r="B52" i="2"/>
  <c r="K53" i="2"/>
  <c r="A53" i="2"/>
  <c r="F53" i="2" a="1"/>
  <c r="F53" i="2" s="1"/>
  <c r="AI5" i="1"/>
  <c r="M54" i="2"/>
  <c r="J54" i="2" a="1"/>
  <c r="J54" i="2" s="1"/>
  <c r="B53" i="2"/>
  <c r="J53" i="2" a="1"/>
  <c r="J53" i="2" s="1"/>
  <c r="M53" i="2"/>
  <c r="O53" i="2"/>
  <c r="P53" i="2" s="1"/>
  <c r="B54" i="2"/>
  <c r="J50" i="2" a="1"/>
  <c r="J50" i="2" s="1"/>
  <c r="B50" i="2"/>
  <c r="O50" i="2"/>
  <c r="P50" i="2" s="1"/>
  <c r="O56" i="2"/>
  <c r="P56" i="2" s="1"/>
  <c r="O58" i="2"/>
  <c r="P58" i="2" s="1"/>
  <c r="A51" i="2"/>
  <c r="F51" i="2" a="1"/>
  <c r="F51" i="2" s="1"/>
  <c r="O54" i="2"/>
  <c r="P54" i="2" s="1"/>
  <c r="A54" i="2"/>
  <c r="F54" i="2" a="1"/>
  <c r="F54" i="2" s="1"/>
  <c r="O52" i="2"/>
  <c r="P52" i="2" s="1"/>
  <c r="O57" i="2"/>
  <c r="P57" i="2" s="1"/>
  <c r="O51" i="2"/>
  <c r="P51" i="2" s="1"/>
  <c r="F52" i="2" a="1"/>
  <c r="F52" i="2" s="1"/>
  <c r="A52" i="2"/>
  <c r="B56" i="2"/>
  <c r="J56" i="2" a="1"/>
  <c r="J56" i="2" s="1"/>
  <c r="A57" i="2"/>
  <c r="F57" i="2" a="1"/>
  <c r="F57" i="2" s="1"/>
  <c r="B58" i="2"/>
  <c r="J58" i="2" a="1"/>
  <c r="J58" i="2" s="1"/>
  <c r="O55" i="2"/>
  <c r="P55" i="2" s="1"/>
  <c r="J55" i="2" a="1"/>
  <c r="J55" i="2" s="1"/>
  <c r="B55" i="2"/>
  <c r="F55" i="2" a="1"/>
  <c r="F55" i="2" s="1"/>
  <c r="A55" i="2"/>
  <c r="R47" i="2"/>
  <c r="R48" i="2"/>
  <c r="I55" i="1"/>
  <c r="J55" i="1" s="1"/>
  <c r="G63" i="2"/>
  <c r="K63" i="2" s="1"/>
  <c r="G62" i="2"/>
  <c r="K62" i="2" s="1"/>
  <c r="I39" i="1"/>
  <c r="J39" i="1" s="1"/>
  <c r="C48" i="2"/>
  <c r="I62" i="2"/>
  <c r="M62" i="2" s="1"/>
  <c r="I47" i="1"/>
  <c r="J47" i="1" s="1"/>
  <c r="C47" i="2"/>
  <c r="C15" i="2"/>
  <c r="P46" i="2" l="1"/>
  <c r="R46" i="2"/>
  <c r="I61" i="2"/>
  <c r="B61" i="2" s="1"/>
  <c r="I31" i="1"/>
  <c r="J31" i="1" s="1"/>
  <c r="C46" i="2"/>
  <c r="C45" i="2"/>
  <c r="P44" i="2"/>
  <c r="R44" i="2"/>
  <c r="I60" i="2"/>
  <c r="I15" i="1"/>
  <c r="J15" i="1" s="1"/>
  <c r="P45" i="2"/>
  <c r="R45" i="2"/>
  <c r="I23" i="1"/>
  <c r="J23" i="1" s="1"/>
  <c r="G61" i="2"/>
  <c r="P43" i="2"/>
  <c r="R43" i="2"/>
  <c r="G60" i="2"/>
  <c r="I7" i="1"/>
  <c r="J7" i="1" s="1"/>
  <c r="C43" i="2"/>
  <c r="C44" i="2"/>
  <c r="R53" i="2"/>
  <c r="C53" i="2"/>
  <c r="G65" i="2"/>
  <c r="AG23" i="1"/>
  <c r="AF23" i="1" s="1"/>
  <c r="C50" i="2"/>
  <c r="I63" i="2"/>
  <c r="M63" i="2" s="1"/>
  <c r="R50" i="2"/>
  <c r="I63" i="1"/>
  <c r="J63" i="1" s="1"/>
  <c r="C56" i="2"/>
  <c r="R56" i="2"/>
  <c r="C58" i="2"/>
  <c r="R58" i="2"/>
  <c r="R54" i="2"/>
  <c r="AG47" i="1"/>
  <c r="AF47" i="1" s="1"/>
  <c r="I66" i="2"/>
  <c r="M66" i="2" s="1"/>
  <c r="I67" i="2"/>
  <c r="M67" i="2" s="1"/>
  <c r="AG63" i="1"/>
  <c r="AF63" i="1" s="1"/>
  <c r="AG31" i="1"/>
  <c r="AF31" i="1" s="1"/>
  <c r="I65" i="2"/>
  <c r="M65" i="2" s="1"/>
  <c r="C54" i="2"/>
  <c r="R52" i="2"/>
  <c r="C52" i="2"/>
  <c r="C57" i="2"/>
  <c r="R57" i="2"/>
  <c r="I64" i="2"/>
  <c r="M64" i="2" s="1"/>
  <c r="AG15" i="1"/>
  <c r="AF15" i="1" s="1"/>
  <c r="G67" i="2"/>
  <c r="K67" i="2" s="1"/>
  <c r="AG55" i="1"/>
  <c r="AF55" i="1" s="1"/>
  <c r="R51" i="2"/>
  <c r="C51" i="2"/>
  <c r="G64" i="2"/>
  <c r="K64" i="2" s="1"/>
  <c r="AG7" i="1"/>
  <c r="AF7" i="1" s="1"/>
  <c r="R55" i="2"/>
  <c r="G66" i="2"/>
  <c r="K66" i="2" s="1"/>
  <c r="AG39" i="1"/>
  <c r="AF39" i="1" s="1"/>
  <c r="C55" i="2"/>
  <c r="A63" i="2"/>
  <c r="F63" i="2" a="1"/>
  <c r="F63" i="2" s="1"/>
  <c r="O62" i="2"/>
  <c r="P62" i="2" s="1"/>
  <c r="A62" i="2"/>
  <c r="F62" i="2" a="1"/>
  <c r="F62" i="2" s="1"/>
  <c r="B62" i="2"/>
  <c r="J62" i="2" a="1"/>
  <c r="J62" i="2" s="1"/>
  <c r="O61" i="2" l="1"/>
  <c r="M61" i="2"/>
  <c r="J61" i="2" a="1"/>
  <c r="J61" i="2" s="1"/>
  <c r="M60" i="2"/>
  <c r="B60" i="2"/>
  <c r="J60" i="2" a="1"/>
  <c r="J60" i="2" s="1"/>
  <c r="K61" i="2"/>
  <c r="A61" i="2"/>
  <c r="F61" i="2" a="1"/>
  <c r="F61" i="2" s="1"/>
  <c r="K60" i="2"/>
  <c r="F60" i="2" a="1"/>
  <c r="F60" i="2" s="1"/>
  <c r="A60" i="2"/>
  <c r="O60" i="2"/>
  <c r="K65" i="2"/>
  <c r="A65" i="2"/>
  <c r="F65" i="2" a="1"/>
  <c r="F65" i="2" s="1"/>
  <c r="J63" i="2" a="1"/>
  <c r="J63" i="2" s="1"/>
  <c r="B63" i="2"/>
  <c r="O63" i="2"/>
  <c r="P63" i="2" s="1"/>
  <c r="J66" i="2" a="1"/>
  <c r="J66" i="2" s="1"/>
  <c r="B66" i="2"/>
  <c r="O67" i="2"/>
  <c r="P67" i="2" s="1"/>
  <c r="J67" i="2" a="1"/>
  <c r="J67" i="2" s="1"/>
  <c r="B67" i="2"/>
  <c r="O65" i="2"/>
  <c r="P65" i="2" s="1"/>
  <c r="B65" i="2"/>
  <c r="J65" i="2" a="1"/>
  <c r="J65" i="2" s="1"/>
  <c r="O64" i="2"/>
  <c r="P64" i="2" s="1"/>
  <c r="J64" i="2" a="1"/>
  <c r="J64" i="2" s="1"/>
  <c r="B64" i="2"/>
  <c r="F67" i="2" a="1"/>
  <c r="F67" i="2" s="1"/>
  <c r="A67" i="2"/>
  <c r="A64" i="2"/>
  <c r="F64" i="2" a="1"/>
  <c r="F64" i="2" s="1"/>
  <c r="F66" i="2" a="1"/>
  <c r="F66" i="2" s="1"/>
  <c r="A66" i="2"/>
  <c r="O66" i="2"/>
  <c r="P66" i="2" s="1"/>
  <c r="R62" i="2"/>
  <c r="C62" i="2"/>
  <c r="G70" i="2"/>
  <c r="K70" i="2" s="1"/>
  <c r="L43" i="1"/>
  <c r="M43" i="1" s="1"/>
  <c r="C61" i="2" l="1"/>
  <c r="P61" i="2"/>
  <c r="L27" i="1"/>
  <c r="M27" i="1" s="1"/>
  <c r="I69" i="2"/>
  <c r="R61" i="2"/>
  <c r="R60" i="2"/>
  <c r="C60" i="2"/>
  <c r="P60" i="2"/>
  <c r="G69" i="2"/>
  <c r="L11" i="1"/>
  <c r="M11" i="1" s="1"/>
  <c r="C65" i="2"/>
  <c r="R63" i="2"/>
  <c r="C63" i="2"/>
  <c r="I70" i="2"/>
  <c r="M70" i="2" s="1"/>
  <c r="L59" i="1"/>
  <c r="M59" i="1" s="1"/>
  <c r="R65" i="2"/>
  <c r="I72" i="2"/>
  <c r="M72" i="2" s="1"/>
  <c r="AD59" i="1"/>
  <c r="AC59" i="1" s="1"/>
  <c r="R67" i="2"/>
  <c r="C67" i="2"/>
  <c r="AD27" i="1"/>
  <c r="AC27" i="1" s="1"/>
  <c r="I71" i="2"/>
  <c r="M71" i="2" s="1"/>
  <c r="C64" i="2"/>
  <c r="AD11" i="1"/>
  <c r="AC11" i="1" s="1"/>
  <c r="G71" i="2"/>
  <c r="K71" i="2" s="1"/>
  <c r="R64" i="2"/>
  <c r="R66" i="2"/>
  <c r="G72" i="2"/>
  <c r="K72" i="2" s="1"/>
  <c r="C66" i="2"/>
  <c r="AD43" i="1"/>
  <c r="AC43" i="1" s="1"/>
  <c r="A70" i="2"/>
  <c r="F70" i="2" a="1"/>
  <c r="F70" i="2" s="1"/>
  <c r="O69" i="2" l="1"/>
  <c r="O19" i="1" s="1"/>
  <c r="P19" i="1" s="1"/>
  <c r="M69" i="2"/>
  <c r="B69" i="2"/>
  <c r="J69" i="2" a="1"/>
  <c r="J69" i="2" s="1"/>
  <c r="K69" i="2"/>
  <c r="A69" i="2"/>
  <c r="F69" i="2" a="1"/>
  <c r="F69" i="2" s="1"/>
  <c r="O70" i="2"/>
  <c r="P70" i="2" s="1"/>
  <c r="B70" i="2"/>
  <c r="J70" i="2" a="1"/>
  <c r="J70" i="2" s="1"/>
  <c r="B72" i="2"/>
  <c r="J72" i="2" a="1"/>
  <c r="J72" i="2" s="1"/>
  <c r="J71" i="2" a="1"/>
  <c r="J71" i="2" s="1"/>
  <c r="B71" i="2"/>
  <c r="A71" i="2"/>
  <c r="O71" i="2"/>
  <c r="P71" i="2" s="1"/>
  <c r="F71" i="2" a="1"/>
  <c r="F71" i="2" s="1"/>
  <c r="O72" i="2"/>
  <c r="P72" i="2" s="1"/>
  <c r="A72" i="2"/>
  <c r="F72" i="2" a="1"/>
  <c r="F72" i="2" s="1"/>
  <c r="C69" i="2" l="1"/>
  <c r="R69" i="2"/>
  <c r="P69" i="2"/>
  <c r="G74" i="2"/>
  <c r="R70" i="2"/>
  <c r="C70" i="2"/>
  <c r="I74" i="2"/>
  <c r="O51" i="1"/>
  <c r="P51" i="1" s="1"/>
  <c r="R72" i="2"/>
  <c r="G75" i="2"/>
  <c r="K75" i="2" s="1"/>
  <c r="C71" i="2"/>
  <c r="R71" i="2"/>
  <c r="AA19" i="1"/>
  <c r="Z19" i="1" s="1"/>
  <c r="I75" i="2"/>
  <c r="M75" i="2" s="1"/>
  <c r="AA51" i="1"/>
  <c r="Z51" i="1" s="1"/>
  <c r="C72" i="2"/>
  <c r="K74" i="2" l="1"/>
  <c r="A74" i="2"/>
  <c r="F74" i="2" a="1"/>
  <c r="F74" i="2" s="1"/>
  <c r="M74" i="2"/>
  <c r="O74" i="2"/>
  <c r="P74" i="2" s="1"/>
  <c r="J74" i="2" a="1"/>
  <c r="J74" i="2" s="1"/>
  <c r="B74" i="2"/>
  <c r="O75" i="2"/>
  <c r="P75" i="2" s="1"/>
  <c r="A75" i="2"/>
  <c r="F75" i="2" a="1"/>
  <c r="F75" i="2" s="1"/>
  <c r="B75" i="2"/>
  <c r="J75" i="2" a="1"/>
  <c r="J75" i="2" s="1"/>
  <c r="R74" i="2" l="1"/>
  <c r="C74" i="2"/>
  <c r="G77" i="2"/>
  <c r="F77" i="2" s="1" a="1"/>
  <c r="F77" i="2" s="1"/>
  <c r="R27" i="1"/>
  <c r="U27" i="1" s="1"/>
  <c r="V39" i="1"/>
  <c r="U39" i="1" s="1"/>
  <c r="I77" i="2"/>
  <c r="M77" i="2" s="1"/>
  <c r="R75" i="2"/>
  <c r="C75" i="2"/>
  <c r="K77" i="2" l="1"/>
  <c r="A77" i="2"/>
  <c r="O77" i="2"/>
  <c r="P77" i="2" s="1"/>
  <c r="B77" i="2"/>
  <c r="J77" i="2" a="1"/>
  <c r="J77" i="2" s="1"/>
  <c r="S32" i="1" l="1"/>
  <c r="T11" i="1" s="1"/>
  <c r="R77" i="2"/>
  <c r="C7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</futureMetadata>
  <cellMetadata count="1">
    <bk>
      <rc t="1" v="0"/>
    </bk>
  </cellMetadata>
  <valueMetadata count="12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</valueMetadata>
</metadata>
</file>

<file path=xl/sharedStrings.xml><?xml version="1.0" encoding="utf-8"?>
<sst xmlns="http://schemas.openxmlformats.org/spreadsheetml/2006/main" count="1748" uniqueCount="1204">
  <si>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</si>
  <si>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</si>
  <si>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</si>
  <si>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</si>
  <si>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</si>
  <si>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</si>
  <si>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</si>
  <si>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</si>
  <si>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</si>
  <si>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</si>
  <si>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</si>
  <si>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</si>
  <si>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</si>
  <si>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</si>
  <si>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</si>
  <si>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</si>
  <si>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</si>
  <si>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</si>
  <si>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</si>
  <si>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</si>
  <si>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</si>
  <si>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</si>
  <si>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</si>
  <si>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</si>
  <si>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</si>
  <si>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</si>
  <si>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</si>
  <si>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</si>
  <si>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</si>
  <si>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</si>
  <si>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</si>
  <si>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</si>
  <si>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</si>
  <si>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</si>
  <si>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</si>
  <si>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</si>
  <si>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</si>
  <si>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</si>
  <si>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</si>
  <si>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</si>
  <si>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</si>
  <si>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</si>
  <si>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</si>
  <si>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</si>
  <si>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</si>
  <si>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</si>
  <si>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</si>
  <si>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</si>
  <si>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</si>
  <si>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</si>
  <si>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</si>
  <si>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</si>
  <si>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</si>
  <si>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</si>
  <si>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</si>
  <si>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</si>
  <si>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</si>
  <si>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</si>
  <si>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</si>
  <si>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</si>
  <si>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</si>
  <si>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</si>
  <si>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</si>
  <si>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</si>
  <si>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</si>
  <si>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</si>
  <si>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</si>
  <si>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</si>
  <si>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</si>
  <si>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</si>
  <si>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</si>
  <si>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</si>
  <si>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</si>
  <si>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</si>
  <si>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</si>
  <si>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</si>
  <si>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</si>
  <si>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</si>
  <si>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</si>
  <si>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</si>
  <si>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</si>
  <si>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</si>
  <si>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</si>
  <si>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</si>
  <si>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</si>
  <si>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</si>
  <si>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</si>
  <si>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</si>
  <si>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</si>
  <si>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</si>
  <si>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</si>
  <si>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</si>
  <si>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</si>
  <si>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</si>
  <si>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</si>
  <si>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</si>
  <si>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ACC</t>
  </si>
  <si>
    <t>31–3</t>
  </si>
  <si>
    <t>Automatic</t>
  </si>
  <si>
    <t>SEC</t>
  </si>
  <si>
    <t>25–8</t>
  </si>
  <si>
    <t>At Large</t>
  </si>
  <si>
    <t>Wisconsin</t>
  </si>
  <si>
    <t>Big Ten</t>
  </si>
  <si>
    <t>26–9</t>
  </si>
  <si>
    <t>Big 12</t>
  </si>
  <si>
    <t>22–12</t>
  </si>
  <si>
    <t>Oregon</t>
  </si>
  <si>
    <t>24–9</t>
  </si>
  <si>
    <t>WCC</t>
  </si>
  <si>
    <t>28–5</t>
  </si>
  <si>
    <t>Mississippi State</t>
  </si>
  <si>
    <t>21–12</t>
  </si>
  <si>
    <t>19–14</t>
  </si>
  <si>
    <t>Vanderbilt</t>
  </si>
  <si>
    <t>20–12</t>
  </si>
  <si>
    <t>Atlantic 10</t>
  </si>
  <si>
    <t>28–6</t>
  </si>
  <si>
    <t>Liberty</t>
  </si>
  <si>
    <t>C-USA</t>
  </si>
  <si>
    <t>MAC</t>
  </si>
  <si>
    <t>Montana</t>
  </si>
  <si>
    <t>Big Sky</t>
  </si>
  <si>
    <t>25–9</t>
  </si>
  <si>
    <t>Robert Morris</t>
  </si>
  <si>
    <t>Horizon</t>
  </si>
  <si>
    <t>26–8</t>
  </si>
  <si>
    <t>School</t>
  </si>
  <si>
    <t>Conference</t>
  </si>
  <si>
    <t>Record</t>
  </si>
  <si>
    <t>Overall Seed</t>
  </si>
  <si>
    <t>Berth type</t>
  </si>
  <si>
    <t>Last bid</t>
  </si>
  <si>
    <t>Mount St. Mary's</t>
  </si>
  <si>
    <t>MAAC</t>
  </si>
  <si>
    <t>Florida</t>
  </si>
  <si>
    <t>30–4</t>
  </si>
  <si>
    <t>2024</t>
  </si>
  <si>
    <t>Big East</t>
  </si>
  <si>
    <t>2019</t>
  </si>
  <si>
    <t>Texas Tech</t>
  </si>
  <si>
    <t>Maryland</t>
  </si>
  <si>
    <t>2023</t>
  </si>
  <si>
    <t>Memphis</t>
  </si>
  <si>
    <t>29–5</t>
  </si>
  <si>
    <t>Missouri</t>
  </si>
  <si>
    <t>22–11</t>
  </si>
  <si>
    <t>Kansas</t>
  </si>
  <si>
    <t>23–10</t>
  </si>
  <si>
    <t>Oklahoma</t>
  </si>
  <si>
    <t>20–13</t>
  </si>
  <si>
    <t>2021</t>
  </si>
  <si>
    <t>Drake</t>
  </si>
  <si>
    <t>Missouri Valley</t>
  </si>
  <si>
    <t>30–3</t>
  </si>
  <si>
    <t>Mountain West</t>
  </si>
  <si>
    <t>Grand Canyon</t>
  </si>
  <si>
    <t>WAC</t>
  </si>
  <si>
    <t>26–7</t>
  </si>
  <si>
    <t>UNC Wilmington</t>
  </si>
  <si>
    <t>CAA</t>
  </si>
  <si>
    <t>27–7</t>
  </si>
  <si>
    <t>2017</t>
  </si>
  <si>
    <t>Omaha</t>
  </si>
  <si>
    <t>Summit</t>
  </si>
  <si>
    <t>Never</t>
  </si>
  <si>
    <t>Norfolk State</t>
  </si>
  <si>
    <t>MEAC</t>
  </si>
  <si>
    <t>24–10</t>
  </si>
  <si>
    <t>2022</t>
  </si>
  <si>
    <t>Michigan State</t>
  </si>
  <si>
    <t>27–6</t>
  </si>
  <si>
    <t>Iowa State</t>
  </si>
  <si>
    <t>Texas A&amp;M</t>
  </si>
  <si>
    <t>22–10</t>
  </si>
  <si>
    <t>Michigan</t>
  </si>
  <si>
    <t>Marquette</t>
  </si>
  <si>
    <t>Louisville</t>
  </si>
  <si>
    <t>New Mexico</t>
  </si>
  <si>
    <t>San Diego State</t>
  </si>
  <si>
    <t>North Carolina</t>
  </si>
  <si>
    <t>22–13</t>
  </si>
  <si>
    <t>UC San Diego</t>
  </si>
  <si>
    <t>Big West</t>
  </si>
  <si>
    <t>Yale</t>
  </si>
  <si>
    <t>Ivy</t>
  </si>
  <si>
    <t>22–7</t>
  </si>
  <si>
    <t>Lipscomb</t>
  </si>
  <si>
    <t>ASUN</t>
  </si>
  <si>
    <t>2018</t>
  </si>
  <si>
    <t>America East</t>
  </si>
  <si>
    <t>23–11</t>
  </si>
  <si>
    <t>SWAC</t>
  </si>
  <si>
    <t>19–15</t>
  </si>
  <si>
    <t>2011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</si>
  <si>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</si>
  <si>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</si>
  <si>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</si>
  <si>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</si>
  <si>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</si>
  <si>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</si>
  <si>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</si>
  <si>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</si>
  <si>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2015</t>
  </si>
  <si>
    <t>Utah State</t>
  </si>
  <si>
    <t>Texas</t>
  </si>
  <si>
    <t>Xavier</t>
  </si>
  <si>
    <t>Southland</t>
  </si>
  <si>
    <t>High Point</t>
  </si>
  <si>
    <t>Big South</t>
  </si>
  <si>
    <t>Troy</t>
  </si>
  <si>
    <t>Sun Belt</t>
  </si>
  <si>
    <t>Wofford</t>
  </si>
  <si>
    <t>Southern</t>
  </si>
  <si>
    <t>SIU Edwardsville</t>
  </si>
  <si>
    <t>Ohio Valley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</si>
  <si>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</si>
  <si>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</si>
  <si>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</si>
  <si>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</si>
  <si>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</si>
  <si>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</si>
  <si>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</si>
  <si>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</si>
  <si>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</si>
  <si>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</si>
  <si>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</si>
  <si>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</si>
  <si>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</si>
  <si>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</si>
  <si>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</si>
  <si>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</si>
  <si>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</si>
  <si>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</si>
  <si>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</si>
  <si>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</si>
  <si>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</si>
  <si>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</si>
  <si>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</si>
  <si>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</si>
  <si>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</si>
  <si>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</si>
  <si>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</si>
  <si>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</si>
  <si>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</si>
  <si>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</si>
  <si>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</si>
  <si>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</si>
  <si>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</si>
  <si>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</si>
  <si>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</si>
  <si>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</si>
  <si>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</si>
  <si>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</si>
  <si>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</si>
  <si>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</si>
  <si>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</si>
  <si>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</si>
  <si>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</si>
  <si>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</si>
  <si>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</si>
  <si>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</si>
  <si>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</si>
  <si>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</si>
  <si>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</si>
  <si>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</si>
  <si>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</si>
  <si>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</si>
  <si>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</si>
  <si>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</si>
  <si>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</si>
  <si>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</si>
  <si>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</si>
  <si>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</si>
  <si>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</si>
  <si>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</si>
  <si>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</si>
  <si>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</si>
  <si>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</si>
  <si>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</si>
  <si>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</si>
  <si>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</si>
  <si>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</si>
  <si>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</si>
  <si>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</si>
  <si>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</si>
  <si>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</si>
  <si>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</si>
  <si>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</si>
  <si>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</si>
  <si>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</si>
  <si>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</si>
  <si>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</si>
  <si>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</si>
  <si>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</si>
  <si>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</si>
  <si>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</si>
  <si>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</si>
  <si>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</si>
  <si>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</si>
  <si>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</si>
  <si>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</si>
  <si>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</si>
  <si>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</si>
  <si>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</si>
  <si>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</si>
  <si>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</si>
  <si>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</si>
  <si>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</si>
  <si>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</si>
  <si>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</si>
  <si>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</si>
  <si>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</si>
  <si>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</si>
  <si>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</si>
  <si>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</si>
  <si>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</si>
  <si>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</si>
  <si>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</si>
  <si>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</si>
  <si>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</si>
  <si>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</si>
  <si>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</si>
  <si>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</si>
  <si>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</si>
  <si>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</si>
  <si>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</si>
  <si>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</si>
  <si>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</si>
  <si>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</si>
  <si>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</si>
  <si>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</si>
  <si>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</si>
  <si>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</si>
  <si>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</si>
  <si>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</si>
  <si>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</si>
  <si>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</si>
  <si>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</si>
  <si>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</si>
  <si>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</si>
  <si>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</si>
  <si>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</si>
  <si>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</si>
  <si>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</si>
  <si>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</si>
  <si>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</si>
  <si>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</si>
  <si>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</si>
  <si>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</si>
  <si>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</si>
  <si>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</si>
  <si>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</si>
  <si>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</si>
  <si>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</si>
  <si>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</si>
  <si>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</si>
  <si>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</si>
  <si>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</si>
  <si>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</si>
  <si>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</si>
  <si>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</si>
  <si>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</si>
  <si>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</si>
  <si>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</si>
  <si>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</si>
  <si>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</si>
  <si>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</si>
  <si>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</si>
  <si>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</si>
  <si>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</si>
  <si>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</si>
  <si>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</si>
  <si>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</si>
  <si>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</si>
  <si>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</si>
  <si>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</si>
  <si>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</si>
  <si>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</si>
  <si>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</si>
  <si>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</si>
  <si>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</si>
  <si>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</si>
  <si>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</si>
  <si>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</si>
  <si>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</si>
  <si>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</si>
  <si>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</si>
  <si>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</si>
  <si>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</si>
  <si>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</si>
  <si>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</si>
  <si>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</si>
  <si>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</si>
  <si>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</si>
  <si>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</si>
  <si>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</si>
  <si>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</si>
  <si>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</si>
  <si>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</si>
  <si>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</si>
  <si>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</si>
  <si>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</si>
  <si>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</si>
  <si>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</si>
  <si>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</si>
  <si>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</si>
  <si>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</si>
  <si>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</si>
  <si>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</si>
  <si>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</si>
  <si>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</si>
  <si>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</si>
  <si>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</si>
  <si>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</si>
  <si>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</si>
  <si>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</si>
  <si>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</si>
  <si>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</si>
  <si>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</si>
  <si>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</si>
  <si>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</si>
  <si>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</si>
  <si>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</si>
  <si>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</si>
  <si>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</si>
  <si>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</si>
  <si>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</si>
  <si>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</si>
  <si>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</si>
  <si>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</si>
  <si>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</si>
  <si>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</si>
  <si>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</si>
  <si>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</si>
  <si>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</si>
  <si>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</si>
  <si>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</si>
  <si>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</si>
  <si>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</si>
  <si>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</si>
  <si>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</si>
  <si>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</si>
  <si>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</si>
  <si>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</si>
  <si>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</si>
  <si>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</si>
  <si>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</si>
  <si>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</si>
  <si>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</si>
  <si>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</si>
  <si>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</si>
  <si>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</si>
  <si>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</si>
  <si>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</si>
  <si>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</si>
  <si>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</si>
  <si>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</si>
  <si>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</si>
  <si>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</si>
  <si>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</si>
  <si>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</si>
  <si>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</si>
  <si>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</si>
  <si>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</si>
  <si>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</si>
  <si>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</si>
  <si>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</si>
  <si>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</si>
  <si>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</si>
  <si>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</si>
  <si>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</si>
  <si>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</si>
  <si>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</si>
  <si>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</si>
  <si>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</si>
  <si>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</si>
  <si>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</si>
  <si>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</si>
  <si>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</si>
  <si>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</si>
  <si>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</si>
  <si>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</si>
  <si>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</si>
  <si>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</si>
  <si>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</si>
  <si>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</si>
  <si>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</si>
  <si>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</si>
  <si>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</si>
  <si>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</si>
  <si>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</si>
  <si>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</si>
  <si>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</si>
  <si>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</si>
  <si>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</si>
  <si>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</si>
  <si>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</si>
  <si>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</si>
  <si>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</si>
  <si>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</si>
  <si>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</si>
  <si>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</si>
  <si>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</si>
  <si>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</si>
  <si>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</si>
  <si>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</si>
  <si>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</si>
  <si>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</si>
  <si>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</si>
  <si>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</si>
  <si>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</si>
  <si>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</si>
  <si>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</si>
  <si>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</si>
  <si>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</si>
  <si>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</si>
  <si>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</si>
  <si>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</si>
  <si>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</si>
  <si>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</si>
  <si>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</si>
  <si>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</si>
  <si>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</si>
  <si>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</si>
  <si>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</si>
  <si>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</si>
  <si>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</si>
  <si>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</si>
  <si>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</si>
  <si>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</si>
  <si>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</si>
  <si>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</si>
  <si>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</si>
  <si>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</si>
  <si>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</si>
  <si>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</si>
  <si>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</si>
  <si>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</si>
  <si>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</si>
  <si>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</si>
  <si>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</si>
  <si>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</si>
  <si>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</si>
  <si>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</si>
  <si>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</si>
  <si>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</si>
  <si>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</si>
  <si>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</si>
  <si>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</si>
  <si>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</si>
  <si>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</si>
  <si>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</si>
  <si>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</si>
  <si>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</si>
  <si>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</si>
  <si>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</si>
  <si>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</si>
  <si>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</si>
  <si>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</si>
  <si>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</si>
  <si>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</si>
  <si>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</si>
  <si>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</si>
  <si>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</si>
  <si>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</si>
  <si>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</si>
  <si>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</si>
  <si>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</si>
  <si>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</si>
  <si>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</si>
  <si>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</si>
  <si>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</si>
  <si>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</si>
  <si>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</si>
  <si>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</si>
  <si>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</si>
  <si>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</si>
  <si>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</si>
  <si>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</si>
  <si>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</si>
  <si>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</si>
  <si>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</si>
  <si>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</si>
  <si>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</si>
  <si>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</si>
  <si>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</si>
  <si>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</si>
  <si>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</si>
  <si>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</si>
  <si>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</si>
  <si>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</si>
  <si>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</si>
  <si>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</si>
  <si>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</si>
  <si>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</si>
  <si>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</si>
  <si>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</si>
  <si>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</si>
  <si>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</si>
  <si>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</si>
  <si>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</si>
  <si>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</si>
  <si>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</si>
  <si>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</si>
  <si>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</si>
  <si>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</si>
  <si>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</si>
  <si>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</si>
  <si>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</si>
  <si>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</si>
  <si>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</si>
  <si>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</si>
  <si>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</si>
  <si>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</si>
  <si>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</si>
  <si>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</si>
  <si>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</si>
  <si>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</si>
  <si>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</si>
  <si>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</si>
  <si>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</si>
  <si>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</si>
  <si>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</si>
  <si>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</si>
  <si>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</si>
  <si>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</si>
  <si>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</si>
  <si>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</si>
  <si>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</si>
  <si>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</si>
  <si>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</si>
  <si>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</si>
  <si>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</si>
  <si>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</si>
  <si>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</si>
  <si>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</si>
  <si>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</si>
  <si>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</si>
  <si>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</si>
  <si>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</si>
  <si>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</si>
  <si>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</si>
  <si>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</si>
  <si>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</si>
  <si>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</si>
  <si>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</si>
  <si>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</si>
  <si>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</si>
  <si>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</si>
  <si>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</si>
  <si>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</si>
  <si>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</si>
  <si>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</si>
  <si>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</si>
  <si>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</si>
  <si>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</si>
  <si>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</si>
  <si>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</si>
  <si>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</si>
  <si>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</si>
  <si>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</si>
  <si>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</si>
  <si>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</si>
  <si>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</si>
  <si>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</si>
  <si>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</si>
  <si>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</si>
  <si>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</si>
  <si>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</si>
  <si>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</si>
  <si>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</si>
  <si>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</si>
  <si>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</si>
  <si>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</si>
  <si>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</si>
  <si>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</si>
  <si>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</si>
  <si>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</si>
  <si>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</si>
  <si>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</si>
  <si>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</si>
  <si>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</si>
  <si>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</si>
  <si>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</si>
  <si>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</si>
  <si>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</si>
  <si>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</si>
  <si>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</si>
  <si>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</si>
  <si>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</si>
  <si>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</si>
  <si>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</si>
  <si>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</si>
  <si>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</si>
  <si>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</si>
  <si>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</si>
  <si>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</si>
  <si>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</si>
  <si>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</si>
  <si>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</si>
  <si>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</si>
  <si>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</si>
  <si>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</si>
  <si>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</si>
  <si>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</si>
  <si>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</si>
  <si>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</si>
  <si>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</si>
  <si>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</si>
  <si>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</si>
  <si>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</si>
  <si>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</si>
  <si>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</si>
  <si>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</si>
  <si>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</si>
  <si>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</si>
  <si>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</si>
  <si>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</si>
  <si>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</si>
  <si>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</si>
  <si>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</si>
  <si>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</si>
  <si>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</si>
  <si>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</si>
  <si>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</si>
  <si>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</si>
  <si>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</si>
  <si>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</si>
  <si>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</si>
  <si>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</si>
  <si>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</si>
  <si>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</si>
  <si>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</si>
  <si>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</si>
  <si>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</si>
  <si>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</si>
  <si>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</si>
  <si>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</si>
  <si>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</si>
  <si>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</si>
  <si>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</si>
  <si>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</si>
  <si>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</si>
  <si>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</si>
  <si>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</si>
  <si>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</si>
  <si>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</si>
  <si>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</si>
  <si>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</si>
  <si>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</si>
  <si>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</si>
  <si>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</si>
  <si>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</si>
  <si>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</si>
  <si>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</si>
  <si>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</si>
  <si>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</si>
  <si>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</si>
  <si>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</si>
  <si>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</si>
  <si>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</si>
  <si>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</si>
  <si>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</si>
  <si>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</si>
  <si>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</si>
  <si>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</si>
  <si>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</si>
  <si>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</si>
  <si>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</si>
  <si>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</si>
  <si>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</si>
  <si>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</si>
  <si>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</si>
  <si>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</si>
  <si>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</si>
  <si>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</si>
  <si>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</si>
  <si>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</si>
  <si>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</si>
  <si>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</si>
  <si>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</si>
  <si>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</si>
  <si>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</si>
  <si>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</si>
  <si>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</si>
  <si>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</si>
  <si>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</si>
  <si>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</si>
  <si>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</si>
  <si>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</si>
  <si>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</si>
  <si>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</si>
  <si>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</si>
  <si>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</si>
  <si>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</si>
  <si>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</si>
  <si>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</si>
  <si>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</si>
  <si>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</si>
  <si>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</si>
  <si>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</si>
  <si>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</si>
  <si>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</si>
  <si>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</si>
  <si>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</si>
  <si>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</si>
  <si>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</si>
  <si>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</si>
  <si>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</si>
  <si>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</si>
  <si>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</si>
  <si>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</si>
  <si>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</si>
  <si>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</si>
  <si>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</si>
  <si>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</si>
  <si>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</si>
  <si>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</si>
  <si>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</si>
  <si>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</si>
  <si>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</si>
  <si>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</si>
  <si>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</si>
  <si>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</si>
  <si>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</si>
  <si>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</si>
  <si>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</si>
  <si>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</si>
  <si>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</si>
  <si>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</si>
  <si>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</si>
  <si>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</si>
  <si>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</si>
  <si>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</si>
  <si>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</si>
  <si>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</si>
  <si>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</si>
  <si>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</si>
  <si>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</si>
  <si>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</si>
  <si>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</si>
  <si>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</si>
  <si>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</si>
  <si>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</si>
  <si>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</si>
  <si>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</si>
  <si>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</si>
  <si>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</si>
  <si>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</si>
  <si>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</si>
  <si>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</si>
  <si>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</si>
  <si>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</si>
  <si>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</si>
  <si>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</si>
  <si>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</si>
  <si>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</si>
  <si>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</si>
  <si>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</si>
  <si>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</si>
  <si>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</si>
  <si>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</si>
  <si>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</si>
  <si>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</si>
  <si>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</si>
  <si>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</si>
  <si>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</si>
  <si>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</si>
  <si>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</si>
  <si>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</si>
  <si>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</si>
  <si>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</si>
  <si>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</si>
  <si>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</si>
  <si>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</si>
  <si>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</si>
  <si>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</si>
  <si>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</si>
  <si>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</si>
  <si>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</si>
  <si>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</si>
  <si>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</si>
  <si>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</si>
  <si>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</si>
  <si>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</si>
  <si>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</si>
  <si>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</si>
  <si>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</si>
  <si>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</si>
  <si>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</si>
  <si>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</si>
  <si>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</si>
  <si>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</si>
  <si>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</si>
  <si>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</si>
  <si>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</si>
  <si>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</si>
  <si>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</si>
  <si>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</si>
  <si>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</si>
  <si>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</si>
  <si>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</si>
  <si>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</si>
  <si>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</si>
  <si>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</si>
  <si>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</si>
  <si>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</si>
  <si>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</si>
  <si>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</si>
  <si>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</si>
  <si>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</si>
  <si>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</si>
  <si>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</si>
  <si>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</si>
  <si>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</si>
  <si>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</si>
  <si>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</si>
  <si>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</si>
  <si>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</si>
  <si>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</si>
  <si>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</si>
  <si>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</si>
  <si>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</si>
  <si>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</si>
  <si>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</si>
  <si>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</si>
  <si>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</si>
  <si>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</si>
  <si>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</si>
  <si>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</si>
  <si>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</si>
  <si>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</si>
  <si>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</si>
  <si>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</si>
  <si>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</si>
  <si>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</si>
  <si>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</si>
  <si>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</si>
  <si>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</si>
  <si>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</si>
  <si>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</si>
  <si>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</si>
  <si>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</si>
  <si>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</si>
  <si>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</si>
  <si>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</si>
  <si>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</si>
  <si>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</si>
  <si>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</si>
  <si>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</si>
  <si>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</si>
  <si>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</si>
  <si>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</si>
  <si>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</si>
  <si>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</si>
  <si>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</si>
  <si>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</si>
  <si>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</si>
  <si>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</si>
  <si>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</si>
  <si>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</si>
  <si>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</si>
  <si>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</si>
  <si>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</si>
  <si>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</si>
  <si>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</si>
  <si>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</si>
  <si>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</si>
  <si>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</si>
  <si>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</si>
  <si>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</si>
  <si>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</si>
  <si>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</si>
  <si>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</si>
  <si>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</si>
  <si>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</si>
  <si>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</si>
  <si>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</si>
  <si>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</si>
  <si>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</si>
  <si>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</si>
  <si>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</si>
  <si>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</si>
  <si>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</si>
  <si>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</si>
  <si>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</si>
  <si>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</si>
  <si>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</si>
  <si>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</si>
  <si>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</si>
  <si>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</si>
  <si>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</si>
  <si>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</si>
  <si>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</si>
  <si>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</si>
  <si>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</si>
  <si>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</si>
  <si>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</si>
  <si>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</si>
  <si>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</si>
  <si>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</si>
  <si>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</si>
  <si>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</si>
  <si>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</si>
  <si>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</si>
  <si>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</si>
  <si>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</si>
  <si>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</si>
  <si>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</si>
  <si>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</si>
  <si>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</si>
  <si>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</si>
  <si>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</si>
  <si>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</si>
  <si>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</si>
  <si>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</si>
  <si>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</si>
  <si>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</si>
  <si>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</si>
  <si>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</si>
  <si>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</si>
  <si>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</si>
  <si>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</si>
  <si>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</si>
  <si>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</si>
  <si>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</si>
  <si>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</si>
  <si>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</si>
  <si>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</si>
  <si>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</si>
  <si>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</si>
  <si>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</si>
  <si>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</si>
  <si>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</si>
  <si>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</si>
  <si>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</si>
  <si>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</si>
  <si>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</si>
  <si>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</si>
  <si>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</si>
  <si>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</si>
  <si>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</si>
  <si>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</si>
  <si>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</si>
  <si>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</si>
  <si>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</si>
  <si>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</si>
  <si>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</si>
  <si>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</si>
  <si>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</si>
  <si>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</si>
  <si>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</si>
  <si>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</si>
  <si>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</si>
  <si>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</si>
  <si>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</si>
  <si>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</si>
  <si>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</si>
  <si>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</si>
  <si>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</si>
  <si>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</si>
  <si>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</si>
  <si>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</si>
  <si>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</si>
  <si>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</si>
  <si>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</si>
  <si>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</si>
  <si>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</si>
  <si>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</si>
  <si>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</si>
  <si>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</si>
  <si>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</si>
  <si>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</si>
  <si>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</si>
  <si>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</si>
  <si>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</si>
  <si>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</si>
  <si>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</si>
  <si>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</si>
  <si>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</si>
  <si>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</si>
  <si>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</si>
  <si>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</si>
  <si>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</si>
  <si>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</si>
  <si>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</si>
  <si>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</si>
  <si>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</si>
  <si>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</si>
  <si>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</si>
  <si>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</si>
  <si>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</si>
  <si>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</si>
  <si>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</si>
  <si>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</si>
  <si>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</si>
  <si>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</si>
  <si>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</si>
  <si>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</si>
  <si>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</si>
  <si>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</si>
  <si>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</si>
  <si>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</si>
  <si>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</si>
  <si>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</si>
  <si>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</si>
  <si>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</si>
  <si>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</si>
  <si>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</si>
  <si>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</si>
  <si>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</si>
  <si>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</si>
  <si>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</si>
  <si>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</si>
  <si>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</si>
  <si>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</si>
  <si>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</si>
  <si>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</si>
  <si>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</si>
  <si>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</si>
  <si>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</si>
  <si>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</si>
  <si>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</si>
  <si>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</si>
  <si>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</si>
  <si>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</si>
  <si>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</si>
  <si>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</si>
  <si>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</si>
  <si>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</si>
  <si>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</si>
  <si>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</si>
  <si>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</si>
  <si>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</si>
  <si>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</si>
  <si>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</si>
  <si>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</si>
  <si>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</si>
  <si>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</si>
  <si>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</si>
  <si>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</si>
  <si>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</si>
  <si>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</si>
  <si>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</si>
  <si>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</si>
  <si>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</si>
  <si>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</si>
  <si>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</si>
  <si>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</si>
  <si>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</si>
  <si>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</si>
  <si>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</si>
  <si>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</si>
  <si>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</si>
  <si>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</si>
  <si>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</si>
  <si>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</si>
  <si>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</si>
  <si>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</si>
  <si>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</si>
  <si>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</si>
  <si>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</si>
  <si>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</si>
  <si>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</si>
  <si>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</si>
  <si>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</si>
  <si>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</si>
  <si>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</si>
  <si>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</si>
  <si>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</si>
  <si>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</si>
  <si>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</si>
  <si>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</si>
  <si>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</si>
  <si>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</si>
  <si>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</si>
  <si>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</si>
  <si>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</si>
  <si>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</si>
  <si>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</si>
  <si>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</si>
  <si>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</si>
  <si>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</si>
  <si>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</si>
  <si>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</si>
  <si>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</si>
  <si>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</si>
  <si>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</si>
  <si>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</si>
  <si>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</si>
  <si>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</si>
  <si>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</si>
  <si>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</si>
  <si>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</si>
  <si>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</si>
  <si>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</si>
  <si>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</si>
  <si>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</si>
  <si>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</si>
  <si>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</si>
  <si>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</si>
  <si>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Lorem ipsum dolor sit amet, consectetur adipiscing elit, sed do eiusmod tempor incididunt ut labore et dolore magna aliqua. </t>
  </si>
  <si>
    <t>First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</si>
</sst>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02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24" fillId="6" borderId="0" xfId="1" applyFont="1" applyFill="1" applyAlignment="1" applyProtection="1"/>
    <xf numFmtId="0" fontId="19" fillId="6" borderId="0" xfId="0" applyFont="1" applyFill="1" applyAlignment="1"/>
  </cellXfs>
  <cellStyles count="2">
    <cellStyle name="Hyperlink" xfId="1" builtinId="8"/>
    <cellStyle name="Normal" xfId="0" builtinId="0" customBuiltin="1"/>
  </cellStyles>
  <dxfs count="3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0/07/relationships/rdRichValueWebImage" Target="richData/rdRichValueWebImag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611811-7C4A-44E0-BB0A-18676E9326EF}" autoFormatId="16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School" tableColumnId="2"/>
      <queryTableField id="3" name="Conference" tableColumnId="3"/>
      <queryTableField id="4" name="Record" tableColumnId="4"/>
      <queryTableField id="5" name="Overall Seed" tableColumnId="5"/>
      <queryTableField id="6" name="Berth type" tableColumnId="6"/>
      <queryTableField id="7" name="Last bi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D1DEF85-4567-4735-B7D2-F09242746983}" autoFormatId="16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School" tableColumnId="2"/>
      <queryTableField id="3" name="Conference" tableColumnId="3"/>
      <queryTableField id="4" name="Record" tableColumnId="4"/>
      <queryTableField id="5" name="Overall Seed" tableColumnId="5"/>
      <queryTableField id="6" name="Berth type" tableColumnId="6"/>
      <queryTableField id="7" name="Last bi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9A5CCEE-21D7-4B4A-B0AD-18931BBEFB5C}" autoFormatId="16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School" tableColumnId="2"/>
      <queryTableField id="3" name="Conference" tableColumnId="3"/>
      <queryTableField id="4" name="Record" tableColumnId="4"/>
      <queryTableField id="5" name="Overall Seed" tableColumnId="5"/>
      <queryTableField id="6" name="Berth type" tableColumnId="6"/>
      <queryTableField id="7" name="Last bid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402D87C-7A50-43D7-8E04-31E5D13B57D8}" autoFormatId="16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School" tableColumnId="2"/>
      <queryTableField id="3" name="Conference" tableColumnId="3"/>
      <queryTableField id="4" name="Record" tableColumnId="4"/>
      <queryTableField id="5" name="Overall Seed" tableColumnId="5"/>
      <queryTableField id="6" name="Berth type" tableColumnId="6"/>
      <queryTableField id="7" name="Last bid" tableColumnId="7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6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10</v>
    <v>4</v>
    <v>0</v>
    <v>0</v>
  </rv>
  <rv s="0">
    <v>11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2"/>
    <tableColumn id="3" xr3:uid="{714CBA45-7DDA-43B9-86A4-4C5947403F44}" uniqueName="3" name="Link" queryTableFieldId="3" dataDxfId="31"/>
    <tableColumn id="4" xr3:uid="{51A37069-17DD-4524-B091-9E772D95E297}" uniqueName="4" name="GameLogs" queryTableFieldId="4" dataDxfId="30"/>
    <tableColumn id="6" xr3:uid="{16FD7BE5-C80E-4178-848D-B547195018E8}" uniqueName="6" name="PartialLink" queryTableFieldId="6" dataDxfId="29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04BF28-E481-4E05-9471-9CAE17FD270F}" name="East_Regional_–_Prudential_Center__Newark__NJ__2" displayName="East_Regional_–_Prudential_Center__Newark__NJ__2" ref="A2:G18" tableType="queryTable" totalsRowShown="0">
  <autoFilter ref="A2:G18" xr:uid="{F804BF28-E481-4E05-9471-9CAE17FD27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BBD60AC-189D-432E-9CE0-69F6240D4349}" uniqueName="1" name="Seed" queryTableFieldId="1" dataDxfId="28"/>
    <tableColumn id="2" xr3:uid="{78DE4A05-C498-4D0B-9F40-C17FA7BD54F2}" uniqueName="2" name="School" queryTableFieldId="2" dataDxfId="27"/>
    <tableColumn id="3" xr3:uid="{7CC09B42-A5D6-4135-BCC7-6821F6B80932}" uniqueName="3" name="Conference" queryTableFieldId="3" dataDxfId="26"/>
    <tableColumn id="4" xr3:uid="{62F57258-CDB4-4674-B30B-DA4A2823A8F7}" uniqueName="4" name="Record" queryTableFieldId="4" dataDxfId="25"/>
    <tableColumn id="5" xr3:uid="{5B44D440-C6BE-40A2-856A-E7606A828AF9}" uniqueName="5" name="Overall Seed" queryTableFieldId="5"/>
    <tableColumn id="6" xr3:uid="{6E408D58-4E81-4D2A-8D4C-7C9D52504CB1}" uniqueName="6" name="Berth type" queryTableFieldId="6" dataDxfId="24"/>
    <tableColumn id="7" xr3:uid="{9DEE30B4-9DB3-4022-A432-63C8240991D3}" uniqueName="7" name="Last bi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876A87-912F-4DAE-8EDF-C3875E88C215}" name="West_Regional_–_Chase_Center__San_Francisco__CA" displayName="West_Regional_–_Chase_Center__San_Francisco__CA" ref="I2:O18" tableType="queryTable" totalsRowShown="0">
  <autoFilter ref="I2:O18" xr:uid="{CC876A87-912F-4DAE-8EDF-C3875E88C2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EA5DD3D-74E5-4229-BE2B-777D3B84C443}" uniqueName="1" name="Seed" queryTableFieldId="1" dataDxfId="23"/>
    <tableColumn id="2" xr3:uid="{318C6D88-4C71-4065-9166-754DBB06CDF3}" uniqueName="2" name="School" queryTableFieldId="2" dataDxfId="22"/>
    <tableColumn id="3" xr3:uid="{8782A040-6A72-4EF0-9E3B-D04CB05B9B1F}" uniqueName="3" name="Conference" queryTableFieldId="3" dataDxfId="21"/>
    <tableColumn id="4" xr3:uid="{77811D70-5737-4156-904E-3CFA942ADE37}" uniqueName="4" name="Record" queryTableFieldId="4" dataDxfId="20"/>
    <tableColumn id="5" xr3:uid="{EB8CFD1B-4455-4102-B38D-54D8839ACEF5}" uniqueName="5" name="Overall Seed" queryTableFieldId="5"/>
    <tableColumn id="6" xr3:uid="{00852EED-943F-4E6D-BFED-C311AD702E03}" uniqueName="6" name="Berth type" queryTableFieldId="6" dataDxfId="19"/>
    <tableColumn id="7" xr3:uid="{CE863DF9-440E-4510-8B3C-221536233193}" uniqueName="7" name="Last bid" queryTableFieldId="7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4E988E-3190-4106-99BE-94D25B0323CB}" name="South_Regional_–_State_Farm_Arena__Atlanta__GA" displayName="South_Regional_–_State_Farm_Arena__Atlanta__GA" ref="Q2:W18" tableType="queryTable" totalsRowShown="0">
  <autoFilter ref="Q2:W18" xr:uid="{0C4E988E-3190-4106-99BE-94D25B0323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3E8A5DA-E387-40E9-AD6D-C8EAD2DF1A85}" uniqueName="1" name="Seed" queryTableFieldId="1" dataDxfId="17"/>
    <tableColumn id="2" xr3:uid="{E6E08EB4-9BEE-4909-976A-99D0799700B3}" uniqueName="2" name="School" queryTableFieldId="2" dataDxfId="16"/>
    <tableColumn id="3" xr3:uid="{7B46D560-8AE0-4BC2-83FB-631D0FC66B2A}" uniqueName="3" name="Conference" queryTableFieldId="3" dataDxfId="15"/>
    <tableColumn id="4" xr3:uid="{EFA36807-02A1-45D7-8F0A-ECC542E768AE}" uniqueName="4" name="Record" queryTableFieldId="4" dataDxfId="14"/>
    <tableColumn id="5" xr3:uid="{4EC922CE-001E-4B7F-A2EC-07B513BA8EEA}" uniqueName="5" name="Overall Seed" queryTableFieldId="5"/>
    <tableColumn id="6" xr3:uid="{459A801E-FBA0-4A19-9BB3-B5177440D4A4}" uniqueName="6" name="Berth type" queryTableFieldId="6" dataDxfId="13"/>
    <tableColumn id="7" xr3:uid="{4643D0FD-05E4-4698-81A2-A70E1313C7C3}" uniqueName="7" name="Last bid" queryTableFieldId="7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9091C6-4A63-440D-9075-939BBF4564CC}" name="Midwest_Regional_–_Lucas_Oil_Stadium__Indianapolis__IN" displayName="Midwest_Regional_–_Lucas_Oil_Stadium__Indianapolis__IN" ref="Y2:AE18" tableType="queryTable" totalsRowShown="0">
  <autoFilter ref="Y2:AE18" xr:uid="{009091C6-4A63-440D-9075-939BBF4564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C316DDC-A3EA-41A6-BA53-31579CE37AB0}" uniqueName="1" name="Seed" queryTableFieldId="1" dataDxfId="11"/>
    <tableColumn id="2" xr3:uid="{FD047E89-58A0-4620-9E73-146177F30828}" uniqueName="2" name="School" queryTableFieldId="2" dataDxfId="10"/>
    <tableColumn id="3" xr3:uid="{BF61A592-AD1A-4F02-A80D-E2C9CC48EA52}" uniqueName="3" name="Conference" queryTableFieldId="3" dataDxfId="9"/>
    <tableColumn id="4" xr3:uid="{5E058945-3CBA-4D3A-A9D2-C8743F065EFC}" uniqueName="4" name="Record" queryTableFieldId="4" dataDxfId="8"/>
    <tableColumn id="5" xr3:uid="{377C40F8-0DB9-4EE1-9D40-BDD673824BCA}" uniqueName="5" name="Overall Seed" queryTableFieldId="5"/>
    <tableColumn id="6" xr3:uid="{460BEB55-810E-41E3-89CD-3779FD85F1E5}" uniqueName="6" name="Berth type" queryTableFieldId="6" dataDxfId="7"/>
    <tableColumn id="7" xr3:uid="{775CB71F-5F81-4263-A2EF-9D3FCD30A5E1}" uniqueName="7" name="Last bid" queryTableFieldId="7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94" workbookViewId="0">
      <selection activeCell="B127" sqref="B127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216</v>
      </c>
      <c r="B1" t="s">
        <v>127</v>
      </c>
      <c r="C1" t="s">
        <v>217</v>
      </c>
      <c r="D1" t="s">
        <v>218</v>
      </c>
      <c r="E1" t="s">
        <v>1201</v>
      </c>
    </row>
    <row r="2" spans="1:5" x14ac:dyDescent="0.25">
      <c r="A2">
        <v>0</v>
      </c>
      <c r="B2" t="s">
        <v>29</v>
      </c>
      <c r="C2" t="s">
        <v>219</v>
      </c>
      <c r="D2" t="s">
        <v>220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221</v>
      </c>
      <c r="D3" t="s">
        <v>222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223</v>
      </c>
      <c r="D4" t="s">
        <v>224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225</v>
      </c>
      <c r="D5" t="s">
        <v>226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227</v>
      </c>
      <c r="D6" t="s">
        <v>228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229</v>
      </c>
      <c r="D7" t="s">
        <v>230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231</v>
      </c>
      <c r="D8" t="s">
        <v>232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233</v>
      </c>
      <c r="D9" t="s">
        <v>234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235</v>
      </c>
      <c r="D10" t="s">
        <v>236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237</v>
      </c>
      <c r="D11" t="s">
        <v>238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239</v>
      </c>
      <c r="D12" t="s">
        <v>240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241</v>
      </c>
      <c r="D13" t="s">
        <v>242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243</v>
      </c>
      <c r="D14" t="s">
        <v>244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245</v>
      </c>
      <c r="D15" t="s">
        <v>246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247</v>
      </c>
      <c r="D16" t="s">
        <v>248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249</v>
      </c>
      <c r="D17" t="s">
        <v>250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251</v>
      </c>
      <c r="D18" t="s">
        <v>252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253</v>
      </c>
      <c r="D19" t="s">
        <v>254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255</v>
      </c>
      <c r="D20" t="s">
        <v>256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257</v>
      </c>
      <c r="D21" t="s">
        <v>258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259</v>
      </c>
      <c r="D22" t="s">
        <v>260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261</v>
      </c>
      <c r="D23" t="s">
        <v>262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263</v>
      </c>
      <c r="D24" t="s">
        <v>264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265</v>
      </c>
      <c r="D25" t="s">
        <v>266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267</v>
      </c>
      <c r="D26" t="s">
        <v>268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269</v>
      </c>
      <c r="D27" t="s">
        <v>270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271</v>
      </c>
      <c r="D28" t="s">
        <v>272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273</v>
      </c>
      <c r="D29" t="s">
        <v>274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275</v>
      </c>
      <c r="D30" t="s">
        <v>276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277</v>
      </c>
      <c r="D31" t="s">
        <v>278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279</v>
      </c>
      <c r="D32" t="s">
        <v>280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281</v>
      </c>
      <c r="D33" t="s">
        <v>282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283</v>
      </c>
      <c r="D34" t="s">
        <v>284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285</v>
      </c>
      <c r="D35" t="s">
        <v>286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287</v>
      </c>
      <c r="D36" t="s">
        <v>288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289</v>
      </c>
      <c r="D37" t="s">
        <v>290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291</v>
      </c>
      <c r="D38" t="s">
        <v>292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293</v>
      </c>
      <c r="D39" t="s">
        <v>294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295</v>
      </c>
      <c r="D40" t="s">
        <v>296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297</v>
      </c>
      <c r="D41" t="s">
        <v>298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299</v>
      </c>
      <c r="D42" t="s">
        <v>300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301</v>
      </c>
      <c r="D43" t="s">
        <v>302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303</v>
      </c>
      <c r="D44" t="s">
        <v>304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305</v>
      </c>
      <c r="D45" t="s">
        <v>306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307</v>
      </c>
      <c r="D46" t="s">
        <v>308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309</v>
      </c>
      <c r="D47" t="s">
        <v>310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311</v>
      </c>
      <c r="D48" t="s">
        <v>312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313</v>
      </c>
      <c r="D49" t="s">
        <v>314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315</v>
      </c>
      <c r="D50" t="s">
        <v>316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317</v>
      </c>
      <c r="D51" t="s">
        <v>318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319</v>
      </c>
      <c r="D52" t="s">
        <v>320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321</v>
      </c>
      <c r="D53" t="s">
        <v>322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323</v>
      </c>
      <c r="D54" t="s">
        <v>324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325</v>
      </c>
      <c r="D55" t="s">
        <v>326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327</v>
      </c>
      <c r="D56" t="s">
        <v>328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329</v>
      </c>
      <c r="D57" t="s">
        <v>330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331</v>
      </c>
      <c r="D58" t="s">
        <v>332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333</v>
      </c>
      <c r="D59" t="s">
        <v>334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335</v>
      </c>
      <c r="D60" t="s">
        <v>336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337</v>
      </c>
      <c r="D61" t="s">
        <v>338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339</v>
      </c>
      <c r="D62" t="s">
        <v>340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341</v>
      </c>
      <c r="D63" t="s">
        <v>342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343</v>
      </c>
      <c r="D64" t="s">
        <v>344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345</v>
      </c>
      <c r="D65" t="s">
        <v>346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347</v>
      </c>
      <c r="C66" t="s">
        <v>348</v>
      </c>
      <c r="D66" t="s">
        <v>349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350</v>
      </c>
      <c r="C67" t="s">
        <v>351</v>
      </c>
      <c r="D67" t="s">
        <v>352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353</v>
      </c>
      <c r="C68" t="s">
        <v>354</v>
      </c>
      <c r="D68" t="s">
        <v>355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356</v>
      </c>
      <c r="C69" t="s">
        <v>357</v>
      </c>
      <c r="D69" t="s">
        <v>358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359</v>
      </c>
      <c r="C70" t="s">
        <v>360</v>
      </c>
      <c r="D70" t="s">
        <v>361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362</v>
      </c>
      <c r="C71" t="s">
        <v>363</v>
      </c>
      <c r="D71" t="s">
        <v>364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365</v>
      </c>
      <c r="C72" t="s">
        <v>366</v>
      </c>
      <c r="D72" t="s">
        <v>367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152</v>
      </c>
      <c r="C73" t="s">
        <v>368</v>
      </c>
      <c r="D73" t="s">
        <v>369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370</v>
      </c>
      <c r="C74" t="s">
        <v>371</v>
      </c>
      <c r="D74" t="s">
        <v>372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373</v>
      </c>
      <c r="D75" t="s">
        <v>374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375</v>
      </c>
      <c r="C76" t="s">
        <v>376</v>
      </c>
      <c r="D76" t="s">
        <v>377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378</v>
      </c>
      <c r="C77" t="s">
        <v>379</v>
      </c>
      <c r="D77" t="s">
        <v>380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381</v>
      </c>
      <c r="C78" t="s">
        <v>382</v>
      </c>
      <c r="D78" t="s">
        <v>383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384</v>
      </c>
      <c r="C79" t="s">
        <v>385</v>
      </c>
      <c r="D79" t="s">
        <v>386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387</v>
      </c>
      <c r="C80" t="s">
        <v>388</v>
      </c>
      <c r="D80" t="s">
        <v>389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390</v>
      </c>
      <c r="C81" t="s">
        <v>391</v>
      </c>
      <c r="D81" t="s">
        <v>392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393</v>
      </c>
      <c r="C82" t="s">
        <v>394</v>
      </c>
      <c r="D82" t="s">
        <v>395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396</v>
      </c>
      <c r="C83" t="s">
        <v>397</v>
      </c>
      <c r="D83" t="s">
        <v>398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399</v>
      </c>
      <c r="C84" t="s">
        <v>400</v>
      </c>
      <c r="D84" t="s">
        <v>401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402</v>
      </c>
      <c r="C85" t="s">
        <v>403</v>
      </c>
      <c r="D85" t="s">
        <v>404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405</v>
      </c>
      <c r="C86" t="s">
        <v>406</v>
      </c>
      <c r="D86" t="s">
        <v>407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408</v>
      </c>
      <c r="C87" t="s">
        <v>409</v>
      </c>
      <c r="D87" t="s">
        <v>410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135</v>
      </c>
      <c r="C88" t="s">
        <v>411</v>
      </c>
      <c r="D88" t="s">
        <v>412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413</v>
      </c>
      <c r="C89" t="s">
        <v>414</v>
      </c>
      <c r="D89" t="s">
        <v>415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416</v>
      </c>
      <c r="C90" t="s">
        <v>417</v>
      </c>
      <c r="D90" t="s">
        <v>418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419</v>
      </c>
      <c r="C91" t="s">
        <v>420</v>
      </c>
      <c r="D91" t="s">
        <v>421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422</v>
      </c>
      <c r="C92" t="s">
        <v>423</v>
      </c>
      <c r="D92" t="s">
        <v>424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425</v>
      </c>
      <c r="C93" t="s">
        <v>426</v>
      </c>
      <c r="D93" t="s">
        <v>427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428</v>
      </c>
      <c r="C94" t="s">
        <v>429</v>
      </c>
      <c r="D94" t="s">
        <v>430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431</v>
      </c>
      <c r="C95" t="s">
        <v>432</v>
      </c>
      <c r="D95" t="s">
        <v>433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434</v>
      </c>
      <c r="C96" t="s">
        <v>435</v>
      </c>
      <c r="D96" t="s">
        <v>436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437</v>
      </c>
      <c r="C97" t="s">
        <v>438</v>
      </c>
      <c r="D97" t="s">
        <v>439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440</v>
      </c>
      <c r="C98" t="s">
        <v>441</v>
      </c>
      <c r="D98" t="s">
        <v>442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443</v>
      </c>
      <c r="C99" t="s">
        <v>444</v>
      </c>
      <c r="D99" t="s">
        <v>445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446</v>
      </c>
      <c r="C100" t="s">
        <v>447</v>
      </c>
      <c r="D100" t="s">
        <v>448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202</v>
      </c>
      <c r="C101" t="s">
        <v>449</v>
      </c>
      <c r="D101" t="s">
        <v>450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451</v>
      </c>
      <c r="C102" t="s">
        <v>452</v>
      </c>
      <c r="D102" t="s">
        <v>453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454</v>
      </c>
      <c r="C103" t="s">
        <v>455</v>
      </c>
      <c r="D103" t="s">
        <v>456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457</v>
      </c>
      <c r="C104" t="s">
        <v>458</v>
      </c>
      <c r="D104" t="s">
        <v>459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201</v>
      </c>
      <c r="C105" t="s">
        <v>460</v>
      </c>
      <c r="D105" t="s">
        <v>461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462</v>
      </c>
      <c r="C106" t="s">
        <v>463</v>
      </c>
      <c r="D106" t="s">
        <v>464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156</v>
      </c>
      <c r="C107" t="s">
        <v>465</v>
      </c>
      <c r="D107" t="s">
        <v>466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467</v>
      </c>
      <c r="C108" t="s">
        <v>468</v>
      </c>
      <c r="D108" t="s">
        <v>469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470</v>
      </c>
      <c r="C109" t="s">
        <v>471</v>
      </c>
      <c r="D109" t="s">
        <v>472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473</v>
      </c>
      <c r="C110" t="s">
        <v>474</v>
      </c>
      <c r="D110" t="s">
        <v>475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476</v>
      </c>
      <c r="C111" t="s">
        <v>477</v>
      </c>
      <c r="D111" t="s">
        <v>478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208</v>
      </c>
      <c r="C112" t="s">
        <v>479</v>
      </c>
      <c r="D112" t="s">
        <v>480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481</v>
      </c>
      <c r="C113" t="s">
        <v>482</v>
      </c>
      <c r="D113" t="s">
        <v>483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484</v>
      </c>
      <c r="C114" t="s">
        <v>485</v>
      </c>
      <c r="D114" t="s">
        <v>486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195</v>
      </c>
      <c r="C115" t="s">
        <v>487</v>
      </c>
      <c r="D115" t="s">
        <v>488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489</v>
      </c>
      <c r="C116" t="s">
        <v>490</v>
      </c>
      <c r="D116" t="s">
        <v>491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492</v>
      </c>
      <c r="C117" t="s">
        <v>493</v>
      </c>
      <c r="D117" t="s">
        <v>494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495</v>
      </c>
      <c r="C118" t="s">
        <v>496</v>
      </c>
      <c r="D118" t="s">
        <v>497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498</v>
      </c>
      <c r="C119" t="s">
        <v>499</v>
      </c>
      <c r="D119" t="s">
        <v>500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199</v>
      </c>
      <c r="C120" t="s">
        <v>501</v>
      </c>
      <c r="D120" t="s">
        <v>502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503</v>
      </c>
      <c r="C121" t="s">
        <v>504</v>
      </c>
      <c r="D121" t="s">
        <v>505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506</v>
      </c>
      <c r="C122" t="s">
        <v>507</v>
      </c>
      <c r="D122" t="s">
        <v>508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509</v>
      </c>
      <c r="C123" t="s">
        <v>510</v>
      </c>
      <c r="D123" t="s">
        <v>511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512</v>
      </c>
      <c r="C124" t="s">
        <v>513</v>
      </c>
      <c r="D124" t="s">
        <v>514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515</v>
      </c>
      <c r="C125" t="s">
        <v>516</v>
      </c>
      <c r="D125" t="s">
        <v>517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518</v>
      </c>
      <c r="C126" t="s">
        <v>519</v>
      </c>
      <c r="D126" t="s">
        <v>520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521</v>
      </c>
      <c r="C127" t="s">
        <v>522</v>
      </c>
      <c r="D127" t="s">
        <v>523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172</v>
      </c>
      <c r="C128" t="s">
        <v>524</v>
      </c>
      <c r="D128" t="s">
        <v>525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526</v>
      </c>
      <c r="C129" t="s">
        <v>527</v>
      </c>
      <c r="D129" t="s">
        <v>528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529</v>
      </c>
      <c r="C130" t="s">
        <v>530</v>
      </c>
      <c r="D130" t="s">
        <v>531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532</v>
      </c>
      <c r="C131" t="s">
        <v>533</v>
      </c>
      <c r="D131" t="s">
        <v>534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535</v>
      </c>
      <c r="C132" t="s">
        <v>536</v>
      </c>
      <c r="D132" t="s">
        <v>537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538</v>
      </c>
      <c r="C133" t="s">
        <v>539</v>
      </c>
      <c r="D133" t="s">
        <v>540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147</v>
      </c>
      <c r="C134" t="s">
        <v>541</v>
      </c>
      <c r="D134" t="s">
        <v>542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543</v>
      </c>
      <c r="C135" t="s">
        <v>544</v>
      </c>
      <c r="D135" t="s">
        <v>545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546</v>
      </c>
      <c r="C136" t="s">
        <v>547</v>
      </c>
      <c r="D136" t="s">
        <v>548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549</v>
      </c>
      <c r="C137" t="s">
        <v>550</v>
      </c>
      <c r="D137" t="s">
        <v>551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552</v>
      </c>
      <c r="C138" t="s">
        <v>553</v>
      </c>
      <c r="D138" t="s">
        <v>554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197</v>
      </c>
      <c r="C139" t="s">
        <v>555</v>
      </c>
      <c r="D139" t="s">
        <v>556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557</v>
      </c>
      <c r="C140" t="s">
        <v>558</v>
      </c>
      <c r="D140" t="s">
        <v>559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560</v>
      </c>
      <c r="C141" t="s">
        <v>561</v>
      </c>
      <c r="D141" t="s">
        <v>562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563</v>
      </c>
      <c r="C142" t="s">
        <v>564</v>
      </c>
      <c r="D142" t="s">
        <v>565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566</v>
      </c>
      <c r="C143" t="s">
        <v>567</v>
      </c>
      <c r="D143" t="s">
        <v>568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569</v>
      </c>
      <c r="C144" t="s">
        <v>570</v>
      </c>
      <c r="D144" t="s">
        <v>571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118</v>
      </c>
      <c r="C145" t="s">
        <v>572</v>
      </c>
      <c r="D145" t="s">
        <v>573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574</v>
      </c>
      <c r="C146" t="s">
        <v>575</v>
      </c>
      <c r="D146" t="s">
        <v>576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187</v>
      </c>
      <c r="C147" t="s">
        <v>577</v>
      </c>
      <c r="D147" t="s">
        <v>578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579</v>
      </c>
      <c r="C148" t="s">
        <v>580</v>
      </c>
      <c r="D148" t="s">
        <v>581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582</v>
      </c>
      <c r="C149" t="s">
        <v>583</v>
      </c>
      <c r="D149" t="s">
        <v>584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585</v>
      </c>
      <c r="C150" t="s">
        <v>586</v>
      </c>
      <c r="D150" t="s">
        <v>587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588</v>
      </c>
      <c r="C151" t="s">
        <v>589</v>
      </c>
      <c r="D151" t="s">
        <v>590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591</v>
      </c>
      <c r="C152" t="s">
        <v>592</v>
      </c>
      <c r="D152" t="s">
        <v>593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594</v>
      </c>
      <c r="C153" t="s">
        <v>595</v>
      </c>
      <c r="D153" t="s">
        <v>596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597</v>
      </c>
      <c r="C154" t="s">
        <v>598</v>
      </c>
      <c r="D154" t="s">
        <v>599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600</v>
      </c>
      <c r="C155" t="s">
        <v>601</v>
      </c>
      <c r="D155" t="s">
        <v>602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177</v>
      </c>
      <c r="C156" t="s">
        <v>603</v>
      </c>
      <c r="D156" t="s">
        <v>604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605</v>
      </c>
      <c r="C157" t="s">
        <v>606</v>
      </c>
      <c r="D157" t="s">
        <v>607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608</v>
      </c>
      <c r="C158" t="s">
        <v>609</v>
      </c>
      <c r="D158" t="s">
        <v>610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611</v>
      </c>
      <c r="C159" t="s">
        <v>612</v>
      </c>
      <c r="D159" t="s">
        <v>613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614</v>
      </c>
      <c r="C160" t="s">
        <v>615</v>
      </c>
      <c r="D160" t="s">
        <v>616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617</v>
      </c>
      <c r="C161" t="s">
        <v>618</v>
      </c>
      <c r="D161" t="s">
        <v>619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620</v>
      </c>
      <c r="C162" t="s">
        <v>621</v>
      </c>
      <c r="D162" t="s">
        <v>622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176</v>
      </c>
      <c r="C163" t="s">
        <v>623</v>
      </c>
      <c r="D163" t="s">
        <v>624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625</v>
      </c>
      <c r="C164" t="s">
        <v>626</v>
      </c>
      <c r="D164" t="s">
        <v>627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141</v>
      </c>
      <c r="C165" t="s">
        <v>628</v>
      </c>
      <c r="D165" t="s">
        <v>629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630</v>
      </c>
      <c r="C166" t="s">
        <v>631</v>
      </c>
      <c r="D166" t="s">
        <v>632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633</v>
      </c>
      <c r="C167" t="s">
        <v>634</v>
      </c>
      <c r="D167" t="s">
        <v>635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636</v>
      </c>
      <c r="C168" t="s">
        <v>637</v>
      </c>
      <c r="D168" t="s">
        <v>638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639</v>
      </c>
      <c r="C169" t="s">
        <v>640</v>
      </c>
      <c r="D169" t="s">
        <v>641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642</v>
      </c>
      <c r="C170" t="s">
        <v>643</v>
      </c>
      <c r="D170" t="s">
        <v>644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143</v>
      </c>
      <c r="C171" t="s">
        <v>645</v>
      </c>
      <c r="D171" t="s">
        <v>646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647</v>
      </c>
      <c r="C172" t="s">
        <v>648</v>
      </c>
      <c r="D172" t="s">
        <v>649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650</v>
      </c>
      <c r="C173" t="s">
        <v>651</v>
      </c>
      <c r="D173" t="s">
        <v>652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653</v>
      </c>
      <c r="C174" t="s">
        <v>654</v>
      </c>
      <c r="D174" t="s">
        <v>655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656</v>
      </c>
      <c r="C175" t="s">
        <v>657</v>
      </c>
      <c r="D175" t="s">
        <v>658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659</v>
      </c>
      <c r="C176" t="s">
        <v>660</v>
      </c>
      <c r="D176" t="s">
        <v>661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175</v>
      </c>
      <c r="C177" t="s">
        <v>662</v>
      </c>
      <c r="D177" t="s">
        <v>663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170</v>
      </c>
      <c r="C178" t="s">
        <v>664</v>
      </c>
      <c r="D178" t="s">
        <v>665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666</v>
      </c>
      <c r="C179" t="s">
        <v>667</v>
      </c>
      <c r="D179" t="s">
        <v>668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669</v>
      </c>
      <c r="C180" t="s">
        <v>670</v>
      </c>
      <c r="D180" t="s">
        <v>671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672</v>
      </c>
      <c r="C181" t="s">
        <v>673</v>
      </c>
      <c r="D181" t="s">
        <v>674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675</v>
      </c>
      <c r="C182" t="s">
        <v>676</v>
      </c>
      <c r="D182" t="s">
        <v>677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111</v>
      </c>
      <c r="C183" t="s">
        <v>678</v>
      </c>
      <c r="D183" t="s">
        <v>679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680</v>
      </c>
      <c r="C184" t="s">
        <v>681</v>
      </c>
      <c r="D184" t="s">
        <v>682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145</v>
      </c>
      <c r="C185" s="222" t="s">
        <v>683</v>
      </c>
      <c r="D185" t="s">
        <v>684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685</v>
      </c>
      <c r="C186" t="s">
        <v>686</v>
      </c>
      <c r="D186" t="s">
        <v>687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688</v>
      </c>
      <c r="C187" t="s">
        <v>689</v>
      </c>
      <c r="D187" t="s">
        <v>690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121</v>
      </c>
      <c r="C188" t="s">
        <v>691</v>
      </c>
      <c r="D188" t="s">
        <v>692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693</v>
      </c>
      <c r="C189" t="s">
        <v>694</v>
      </c>
      <c r="D189" t="s">
        <v>695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696</v>
      </c>
      <c r="C190" t="s">
        <v>697</v>
      </c>
      <c r="D190" t="s">
        <v>698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699</v>
      </c>
      <c r="C191" t="s">
        <v>700</v>
      </c>
      <c r="D191" t="s">
        <v>701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133</v>
      </c>
      <c r="C192" t="s">
        <v>702</v>
      </c>
      <c r="D192" t="s">
        <v>703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704</v>
      </c>
      <c r="C193" t="s">
        <v>705</v>
      </c>
      <c r="D193" t="s">
        <v>706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707</v>
      </c>
      <c r="C194" t="s">
        <v>708</v>
      </c>
      <c r="D194" t="s">
        <v>709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710</v>
      </c>
      <c r="C195" t="s">
        <v>711</v>
      </c>
      <c r="D195" t="s">
        <v>712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713</v>
      </c>
      <c r="C196" t="s">
        <v>714</v>
      </c>
      <c r="D196" t="s">
        <v>715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716</v>
      </c>
      <c r="C197" t="s">
        <v>717</v>
      </c>
      <c r="D197" t="s">
        <v>718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719</v>
      </c>
      <c r="C198" t="s">
        <v>720</v>
      </c>
      <c r="D198" t="s">
        <v>721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722</v>
      </c>
      <c r="C199" t="s">
        <v>723</v>
      </c>
      <c r="D199" t="s">
        <v>724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725</v>
      </c>
      <c r="C200" t="s">
        <v>726</v>
      </c>
      <c r="D200" t="s">
        <v>727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178</v>
      </c>
      <c r="C201" t="s">
        <v>728</v>
      </c>
      <c r="D201" t="s">
        <v>729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730</v>
      </c>
      <c r="C202" t="s">
        <v>731</v>
      </c>
      <c r="D202" t="s">
        <v>732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733</v>
      </c>
      <c r="C203" t="s">
        <v>734</v>
      </c>
      <c r="D203" t="s">
        <v>735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736</v>
      </c>
      <c r="C204" t="s">
        <v>737</v>
      </c>
      <c r="D204" t="s">
        <v>738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739</v>
      </c>
      <c r="C205" t="s">
        <v>740</v>
      </c>
      <c r="D205" t="s">
        <v>741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742</v>
      </c>
      <c r="C206" t="s">
        <v>743</v>
      </c>
      <c r="D206" t="s">
        <v>744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166</v>
      </c>
      <c r="C207" t="s">
        <v>745</v>
      </c>
      <c r="D207" t="s">
        <v>746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747</v>
      </c>
      <c r="C208" t="s">
        <v>748</v>
      </c>
      <c r="D208" t="s">
        <v>749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180</v>
      </c>
      <c r="C209" t="s">
        <v>750</v>
      </c>
      <c r="D209" t="s">
        <v>751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752</v>
      </c>
      <c r="C210" t="s">
        <v>753</v>
      </c>
      <c r="D210" t="s">
        <v>754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755</v>
      </c>
      <c r="C211" t="s">
        <v>756</v>
      </c>
      <c r="D211" t="s">
        <v>757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758</v>
      </c>
      <c r="C212" t="s">
        <v>759</v>
      </c>
      <c r="D212" t="s">
        <v>760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761</v>
      </c>
      <c r="C213" t="s">
        <v>762</v>
      </c>
      <c r="D213" t="s">
        <v>763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764</v>
      </c>
      <c r="C214" t="s">
        <v>765</v>
      </c>
      <c r="D214" t="s">
        <v>766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767</v>
      </c>
      <c r="C215" t="s">
        <v>768</v>
      </c>
      <c r="D215" t="s">
        <v>769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770</v>
      </c>
      <c r="C216" t="s">
        <v>771</v>
      </c>
      <c r="D216" t="s">
        <v>772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773</v>
      </c>
      <c r="C217" t="s">
        <v>774</v>
      </c>
      <c r="D217" t="s">
        <v>775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776</v>
      </c>
      <c r="C218" t="s">
        <v>777</v>
      </c>
      <c r="D218" t="s">
        <v>778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779</v>
      </c>
      <c r="C219" t="s">
        <v>780</v>
      </c>
      <c r="D219" t="s">
        <v>781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782</v>
      </c>
      <c r="C220" t="s">
        <v>783</v>
      </c>
      <c r="D220" t="s">
        <v>784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785</v>
      </c>
      <c r="C221" t="s">
        <v>786</v>
      </c>
      <c r="D221" t="s">
        <v>787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788</v>
      </c>
      <c r="C222" t="s">
        <v>789</v>
      </c>
      <c r="D222" t="s">
        <v>790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791</v>
      </c>
      <c r="C223" t="s">
        <v>792</v>
      </c>
      <c r="D223" t="s">
        <v>793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794</v>
      </c>
      <c r="C224" t="s">
        <v>795</v>
      </c>
      <c r="D224" t="s">
        <v>796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797</v>
      </c>
      <c r="C225" t="s">
        <v>798</v>
      </c>
      <c r="D225" t="s">
        <v>799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800</v>
      </c>
      <c r="C226" t="s">
        <v>801</v>
      </c>
      <c r="D226" t="s">
        <v>802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803</v>
      </c>
      <c r="C227" t="s">
        <v>804</v>
      </c>
      <c r="D227" t="s">
        <v>805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149</v>
      </c>
      <c r="C228" t="s">
        <v>806</v>
      </c>
      <c r="D228" t="s">
        <v>807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808</v>
      </c>
      <c r="C229" t="s">
        <v>809</v>
      </c>
      <c r="D229" t="s">
        <v>810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811</v>
      </c>
      <c r="C230" t="s">
        <v>812</v>
      </c>
      <c r="D230" t="s">
        <v>813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163</v>
      </c>
      <c r="C231" t="s">
        <v>814</v>
      </c>
      <c r="D231" t="s">
        <v>815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816</v>
      </c>
      <c r="C232" t="s">
        <v>817</v>
      </c>
      <c r="D232" t="s">
        <v>818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107</v>
      </c>
      <c r="C233" t="s">
        <v>819</v>
      </c>
      <c r="D233" t="s">
        <v>820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821</v>
      </c>
      <c r="C234" t="s">
        <v>822</v>
      </c>
      <c r="D234" t="s">
        <v>823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824</v>
      </c>
      <c r="C235" t="s">
        <v>825</v>
      </c>
      <c r="D235" t="s">
        <v>826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827</v>
      </c>
      <c r="C236" t="s">
        <v>828</v>
      </c>
      <c r="D236" t="s">
        <v>829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830</v>
      </c>
      <c r="C237" t="s">
        <v>831</v>
      </c>
      <c r="D237" t="s">
        <v>832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833</v>
      </c>
      <c r="C238" t="s">
        <v>834</v>
      </c>
      <c r="D238" t="s">
        <v>835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836</v>
      </c>
      <c r="C239" t="s">
        <v>837</v>
      </c>
      <c r="D239" t="s">
        <v>838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839</v>
      </c>
      <c r="C240" t="s">
        <v>840</v>
      </c>
      <c r="D240" t="s">
        <v>841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842</v>
      </c>
      <c r="C241" t="s">
        <v>843</v>
      </c>
      <c r="D241" t="s">
        <v>844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845</v>
      </c>
      <c r="C242" t="s">
        <v>846</v>
      </c>
      <c r="D242" t="s">
        <v>847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848</v>
      </c>
      <c r="C243" t="s">
        <v>849</v>
      </c>
      <c r="D243" t="s">
        <v>850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851</v>
      </c>
      <c r="C244" t="s">
        <v>852</v>
      </c>
      <c r="D244" t="s">
        <v>853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854</v>
      </c>
      <c r="C245" t="s">
        <v>855</v>
      </c>
      <c r="D245" t="s">
        <v>856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198</v>
      </c>
      <c r="C246" t="s">
        <v>857</v>
      </c>
      <c r="D246" t="s">
        <v>858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859</v>
      </c>
      <c r="C247" t="s">
        <v>860</v>
      </c>
      <c r="D247" t="s">
        <v>861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862</v>
      </c>
      <c r="C248" t="s">
        <v>863</v>
      </c>
      <c r="D248" t="s">
        <v>864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865</v>
      </c>
      <c r="C249" t="s">
        <v>866</v>
      </c>
      <c r="D249" t="s">
        <v>867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868</v>
      </c>
      <c r="C250" t="s">
        <v>869</v>
      </c>
      <c r="D250" t="s">
        <v>870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871</v>
      </c>
      <c r="C251" t="s">
        <v>872</v>
      </c>
      <c r="D251" t="s">
        <v>873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874</v>
      </c>
      <c r="C252" t="s">
        <v>875</v>
      </c>
      <c r="D252" t="s">
        <v>876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877</v>
      </c>
      <c r="C253" t="s">
        <v>878</v>
      </c>
      <c r="D253" t="s">
        <v>879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880</v>
      </c>
      <c r="C254" t="s">
        <v>881</v>
      </c>
      <c r="D254" t="s">
        <v>882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124</v>
      </c>
      <c r="C255" t="s">
        <v>883</v>
      </c>
      <c r="D255" t="s">
        <v>884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885</v>
      </c>
      <c r="C256" t="s">
        <v>886</v>
      </c>
      <c r="D256" t="s">
        <v>887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888</v>
      </c>
      <c r="C257" t="s">
        <v>889</v>
      </c>
      <c r="D257" t="s">
        <v>890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891</v>
      </c>
      <c r="C258" t="s">
        <v>892</v>
      </c>
      <c r="D258" t="s">
        <v>893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894</v>
      </c>
      <c r="C259" t="s">
        <v>895</v>
      </c>
      <c r="D259" t="s">
        <v>896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897</v>
      </c>
      <c r="C260" t="s">
        <v>898</v>
      </c>
      <c r="D260" t="s">
        <v>899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900</v>
      </c>
      <c r="C261" t="s">
        <v>901</v>
      </c>
      <c r="D261" t="s">
        <v>902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903</v>
      </c>
      <c r="C262" t="s">
        <v>904</v>
      </c>
      <c r="D262" t="s">
        <v>905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906</v>
      </c>
      <c r="C263" t="s">
        <v>907</v>
      </c>
      <c r="D263" t="s">
        <v>908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909</v>
      </c>
      <c r="C264" t="s">
        <v>910</v>
      </c>
      <c r="D264" t="s">
        <v>911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912</v>
      </c>
      <c r="C265" t="s">
        <v>913</v>
      </c>
      <c r="D265" t="s">
        <v>914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915</v>
      </c>
      <c r="C266" t="s">
        <v>916</v>
      </c>
      <c r="D266" t="s">
        <v>917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179</v>
      </c>
      <c r="C267" t="s">
        <v>918</v>
      </c>
      <c r="D267" t="s">
        <v>919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920</v>
      </c>
      <c r="C268" t="s">
        <v>921</v>
      </c>
      <c r="D268" t="s">
        <v>922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923</v>
      </c>
      <c r="C269" t="s">
        <v>924</v>
      </c>
      <c r="D269" t="s">
        <v>925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926</v>
      </c>
      <c r="C270" t="s">
        <v>927</v>
      </c>
      <c r="D270" t="s">
        <v>928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929</v>
      </c>
      <c r="C271" t="s">
        <v>930</v>
      </c>
      <c r="D271" t="s">
        <v>931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932</v>
      </c>
      <c r="C272" t="s">
        <v>933</v>
      </c>
      <c r="D272" t="s">
        <v>934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935</v>
      </c>
      <c r="C273" t="s">
        <v>936</v>
      </c>
      <c r="D273" t="s">
        <v>937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938</v>
      </c>
      <c r="C274" t="s">
        <v>939</v>
      </c>
      <c r="D274" t="s">
        <v>940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941</v>
      </c>
      <c r="C275" t="s">
        <v>942</v>
      </c>
      <c r="D275" t="s">
        <v>943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944</v>
      </c>
      <c r="C276" t="s">
        <v>945</v>
      </c>
      <c r="D276" t="s">
        <v>946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947</v>
      </c>
      <c r="C277" t="s">
        <v>948</v>
      </c>
      <c r="D277" t="s">
        <v>949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950</v>
      </c>
      <c r="C278" t="s">
        <v>951</v>
      </c>
      <c r="D278" t="s">
        <v>952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953</v>
      </c>
      <c r="C279" t="s">
        <v>954</v>
      </c>
      <c r="D279" t="s">
        <v>955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956</v>
      </c>
      <c r="C280" t="s">
        <v>957</v>
      </c>
      <c r="D280" t="s">
        <v>958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959</v>
      </c>
      <c r="C281" t="s">
        <v>960</v>
      </c>
      <c r="D281" t="s">
        <v>961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962</v>
      </c>
      <c r="C282" t="s">
        <v>963</v>
      </c>
      <c r="D282" t="s">
        <v>964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213</v>
      </c>
      <c r="C283" t="s">
        <v>965</v>
      </c>
      <c r="D283" t="s">
        <v>966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967</v>
      </c>
      <c r="C284" t="s">
        <v>968</v>
      </c>
      <c r="D284" t="s">
        <v>969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970</v>
      </c>
      <c r="C285" t="s">
        <v>971</v>
      </c>
      <c r="D285" t="s">
        <v>972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214</v>
      </c>
      <c r="C286" t="s">
        <v>973</v>
      </c>
      <c r="D286" t="s">
        <v>974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975</v>
      </c>
      <c r="C287" t="s">
        <v>976</v>
      </c>
      <c r="D287" t="s">
        <v>977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978</v>
      </c>
      <c r="C288" t="s">
        <v>979</v>
      </c>
      <c r="D288" t="s">
        <v>980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981</v>
      </c>
      <c r="C289" t="s">
        <v>982</v>
      </c>
      <c r="D289" t="s">
        <v>983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984</v>
      </c>
      <c r="C290" t="s">
        <v>985</v>
      </c>
      <c r="D290" t="s">
        <v>986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987</v>
      </c>
      <c r="C291" t="s">
        <v>988</v>
      </c>
      <c r="D291" t="s">
        <v>989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990</v>
      </c>
      <c r="C292" t="s">
        <v>991</v>
      </c>
      <c r="D292" t="s">
        <v>992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993</v>
      </c>
      <c r="C293" t="s">
        <v>994</v>
      </c>
      <c r="D293" t="s">
        <v>995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996</v>
      </c>
      <c r="C294" t="s">
        <v>997</v>
      </c>
      <c r="D294" t="s">
        <v>998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999</v>
      </c>
      <c r="C295" t="s">
        <v>1000</v>
      </c>
      <c r="D295" t="s">
        <v>1001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1002</v>
      </c>
      <c r="C296" t="s">
        <v>1003</v>
      </c>
      <c r="D296" t="s">
        <v>1004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1005</v>
      </c>
      <c r="C297" t="s">
        <v>1006</v>
      </c>
      <c r="D297" t="s">
        <v>1007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1008</v>
      </c>
      <c r="C298" t="s">
        <v>1009</v>
      </c>
      <c r="D298" t="s">
        <v>1010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1011</v>
      </c>
      <c r="C299" t="s">
        <v>1012</v>
      </c>
      <c r="D299" t="s">
        <v>1013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1014</v>
      </c>
      <c r="C300" t="s">
        <v>1015</v>
      </c>
      <c r="D300" t="s">
        <v>1016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1017</v>
      </c>
      <c r="C301" t="s">
        <v>1018</v>
      </c>
      <c r="D301" t="s">
        <v>1019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1020</v>
      </c>
      <c r="C302" t="s">
        <v>1021</v>
      </c>
      <c r="D302" t="s">
        <v>1022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196</v>
      </c>
      <c r="C303" t="s">
        <v>1023</v>
      </c>
      <c r="D303" t="s">
        <v>1024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1025</v>
      </c>
      <c r="C304" t="s">
        <v>1026</v>
      </c>
      <c r="D304" t="s">
        <v>1027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1028</v>
      </c>
      <c r="C305" t="s">
        <v>1029</v>
      </c>
      <c r="D305" t="s">
        <v>1030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1031</v>
      </c>
      <c r="C306" t="s">
        <v>1032</v>
      </c>
      <c r="D306" t="s">
        <v>1033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205</v>
      </c>
      <c r="C307" t="s">
        <v>1034</v>
      </c>
      <c r="D307" t="s">
        <v>1035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173</v>
      </c>
      <c r="C308" t="s">
        <v>1036</v>
      </c>
      <c r="D308" t="s">
        <v>1037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1038</v>
      </c>
      <c r="C309" t="s">
        <v>1039</v>
      </c>
      <c r="D309" t="s">
        <v>1040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1041</v>
      </c>
      <c r="C310" t="s">
        <v>1042</v>
      </c>
      <c r="D310" t="s">
        <v>1043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1044</v>
      </c>
      <c r="C311" t="s">
        <v>1045</v>
      </c>
      <c r="D311" t="s">
        <v>1046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140</v>
      </c>
      <c r="C312" t="s">
        <v>1047</v>
      </c>
      <c r="D312" t="s">
        <v>1048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1049</v>
      </c>
      <c r="C313" t="s">
        <v>1050</v>
      </c>
      <c r="D313" t="s">
        <v>1051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1052</v>
      </c>
      <c r="C314" t="s">
        <v>1053</v>
      </c>
      <c r="D314" t="s">
        <v>1054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1055</v>
      </c>
      <c r="C315" t="s">
        <v>1056</v>
      </c>
      <c r="D315" t="s">
        <v>1057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1058</v>
      </c>
      <c r="C316" t="s">
        <v>1059</v>
      </c>
      <c r="D316" t="s">
        <v>1060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210</v>
      </c>
      <c r="C317" t="s">
        <v>1061</v>
      </c>
      <c r="D317" t="s">
        <v>1062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1063</v>
      </c>
      <c r="C318" t="s">
        <v>1064</v>
      </c>
      <c r="D318" t="s">
        <v>1065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1066</v>
      </c>
      <c r="C319" t="s">
        <v>1067</v>
      </c>
      <c r="D319" t="s">
        <v>1068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1069</v>
      </c>
      <c r="C320" t="s">
        <v>1070</v>
      </c>
      <c r="D320" t="s">
        <v>1071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1072</v>
      </c>
      <c r="C321" t="s">
        <v>1073</v>
      </c>
      <c r="D321" t="s">
        <v>1074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1075</v>
      </c>
      <c r="C322" t="s">
        <v>1076</v>
      </c>
      <c r="D322" t="s">
        <v>1077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1078</v>
      </c>
      <c r="C323" t="s">
        <v>1079</v>
      </c>
      <c r="D323" t="s">
        <v>1080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182</v>
      </c>
      <c r="C324" t="s">
        <v>1081</v>
      </c>
      <c r="D324" t="s">
        <v>1082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1083</v>
      </c>
      <c r="C325" t="s">
        <v>1084</v>
      </c>
      <c r="D325" t="s">
        <v>1085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1086</v>
      </c>
      <c r="C326" t="s">
        <v>1087</v>
      </c>
      <c r="D326" t="s">
        <v>1088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200</v>
      </c>
      <c r="C327" t="s">
        <v>1089</v>
      </c>
      <c r="D327" t="s">
        <v>1090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1091</v>
      </c>
      <c r="C328" t="s">
        <v>1092</v>
      </c>
      <c r="D328" t="s">
        <v>1093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1094</v>
      </c>
      <c r="C329" t="s">
        <v>1095</v>
      </c>
      <c r="D329" t="s">
        <v>1096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159</v>
      </c>
      <c r="C330" t="s">
        <v>1097</v>
      </c>
      <c r="D330" t="s">
        <v>1098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1099</v>
      </c>
      <c r="C331" t="s">
        <v>1100</v>
      </c>
      <c r="D331" t="s">
        <v>1101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1102</v>
      </c>
      <c r="C332" t="s">
        <v>1103</v>
      </c>
      <c r="D332" t="s">
        <v>1104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204</v>
      </c>
      <c r="C333" t="s">
        <v>1105</v>
      </c>
      <c r="D333" t="s">
        <v>1106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1107</v>
      </c>
      <c r="C334" t="s">
        <v>1108</v>
      </c>
      <c r="D334" t="s">
        <v>1109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1110</v>
      </c>
      <c r="C335" t="s">
        <v>1111</v>
      </c>
      <c r="D335" t="s">
        <v>1112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1113</v>
      </c>
      <c r="C336" t="s">
        <v>1114</v>
      </c>
      <c r="D336" t="s">
        <v>1115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1116</v>
      </c>
      <c r="C337" t="s">
        <v>1117</v>
      </c>
      <c r="D337" t="s">
        <v>1118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1119</v>
      </c>
      <c r="C338" t="s">
        <v>1120</v>
      </c>
      <c r="D338" t="s">
        <v>1121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114</v>
      </c>
      <c r="C339" t="s">
        <v>1122</v>
      </c>
      <c r="D339" t="s">
        <v>1123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1124</v>
      </c>
      <c r="C340" t="s">
        <v>1125</v>
      </c>
      <c r="D340" t="s">
        <v>1126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1127</v>
      </c>
      <c r="C341" t="s">
        <v>1128</v>
      </c>
      <c r="D341" t="s">
        <v>1129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1130</v>
      </c>
      <c r="C342" t="s">
        <v>1131</v>
      </c>
      <c r="D342" t="s">
        <v>1132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1133</v>
      </c>
      <c r="C343" t="s">
        <v>1134</v>
      </c>
      <c r="D343" t="s">
        <v>1135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1136</v>
      </c>
      <c r="C344" t="s">
        <v>1137</v>
      </c>
      <c r="D344" t="s">
        <v>1138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1139</v>
      </c>
      <c r="C345" t="s">
        <v>1140</v>
      </c>
      <c r="D345" t="s">
        <v>1141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1142</v>
      </c>
      <c r="C346" t="s">
        <v>1143</v>
      </c>
      <c r="D346" t="s">
        <v>1144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1145</v>
      </c>
      <c r="C347" t="s">
        <v>1146</v>
      </c>
      <c r="D347" t="s">
        <v>1147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1148</v>
      </c>
      <c r="C348" t="s">
        <v>1149</v>
      </c>
      <c r="D348" t="s">
        <v>1150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1151</v>
      </c>
      <c r="C349" t="s">
        <v>1152</v>
      </c>
      <c r="D349" t="s">
        <v>1153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1154</v>
      </c>
      <c r="C350" t="s">
        <v>1155</v>
      </c>
      <c r="D350" t="s">
        <v>1156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1157</v>
      </c>
      <c r="C351" t="s">
        <v>1158</v>
      </c>
      <c r="D351" t="s">
        <v>1159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1160</v>
      </c>
      <c r="C352" t="s">
        <v>1161</v>
      </c>
      <c r="D352" t="s">
        <v>1162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1163</v>
      </c>
      <c r="C353" t="s">
        <v>1164</v>
      </c>
      <c r="D353" t="s">
        <v>1165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1166</v>
      </c>
      <c r="C354" t="s">
        <v>1167</v>
      </c>
      <c r="D354" t="s">
        <v>1168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1169</v>
      </c>
      <c r="C355" t="s">
        <v>1170</v>
      </c>
      <c r="D355" t="s">
        <v>1171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1172</v>
      </c>
      <c r="C356" t="s">
        <v>1173</v>
      </c>
      <c r="D356" t="s">
        <v>1174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1175</v>
      </c>
      <c r="C357" t="s">
        <v>1176</v>
      </c>
      <c r="D357" t="s">
        <v>1177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1178</v>
      </c>
      <c r="C358" t="s">
        <v>1179</v>
      </c>
      <c r="D358" t="s">
        <v>1180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1181</v>
      </c>
      <c r="C359" t="s">
        <v>1182</v>
      </c>
      <c r="D359" t="s">
        <v>1183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102</v>
      </c>
      <c r="C360" t="s">
        <v>1184</v>
      </c>
      <c r="D360" t="s">
        <v>1185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212</v>
      </c>
      <c r="C361" t="s">
        <v>1186</v>
      </c>
      <c r="D361" t="s">
        <v>1187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1188</v>
      </c>
      <c r="C362" t="s">
        <v>1189</v>
      </c>
      <c r="D362" t="s">
        <v>1190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1191</v>
      </c>
      <c r="C363" t="s">
        <v>1192</v>
      </c>
      <c r="D363" t="s">
        <v>1193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206</v>
      </c>
      <c r="C364" t="s">
        <v>1194</v>
      </c>
      <c r="D364" t="s">
        <v>1195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184</v>
      </c>
      <c r="C365" t="s">
        <v>1196</v>
      </c>
      <c r="D365" t="s">
        <v>1197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1198</v>
      </c>
      <c r="C366" t="s">
        <v>1199</v>
      </c>
      <c r="D366" t="s">
        <v>1200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BC59-1C97-4935-8EF5-1DBF88D9CB44}">
  <sheetPr>
    <tabColor rgb="FFF6E7D8"/>
  </sheetPr>
  <dimension ref="A1:AE23"/>
  <sheetViews>
    <sheetView zoomScale="70" zoomScaleNormal="70" workbookViewId="0">
      <selection activeCell="Z20" sqref="Z20"/>
    </sheetView>
  </sheetViews>
  <sheetFormatPr defaultRowHeight="13.2" x14ac:dyDescent="0.25"/>
  <cols>
    <col min="1" max="1" width="5.6640625" bestFit="1" customWidth="1"/>
    <col min="2" max="2" width="22.33203125" bestFit="1" customWidth="1"/>
    <col min="3" max="3" width="11.5546875" bestFit="1" customWidth="1"/>
    <col min="4" max="4" width="7.5546875" bestFit="1" customWidth="1"/>
    <col min="5" max="5" width="12.44140625" bestFit="1" customWidth="1"/>
    <col min="6" max="6" width="10.21875" bestFit="1" customWidth="1"/>
    <col min="7" max="7" width="8.21875" bestFit="1" customWidth="1"/>
    <col min="8" max="8" width="2.77734375" customWidth="1"/>
    <col min="9" max="9" width="5.6640625" bestFit="1" customWidth="1"/>
    <col min="10" max="10" width="15.77734375" bestFit="1" customWidth="1"/>
    <col min="11" max="11" width="14.109375" bestFit="1" customWidth="1"/>
    <col min="12" max="12" width="7.5546875" bestFit="1" customWidth="1"/>
    <col min="13" max="13" width="12.44140625" bestFit="1" customWidth="1"/>
    <col min="14" max="14" width="10.21875" bestFit="1" customWidth="1"/>
    <col min="15" max="15" width="8.21875" bestFit="1" customWidth="1"/>
    <col min="16" max="16" width="2.77734375" customWidth="1"/>
    <col min="17" max="17" width="5.6640625" bestFit="1" customWidth="1"/>
    <col min="18" max="18" width="13.77734375" bestFit="1" customWidth="1"/>
    <col min="19" max="19" width="13.88671875" bestFit="1" customWidth="1"/>
    <col min="20" max="20" width="7.5546875" bestFit="1" customWidth="1"/>
    <col min="21" max="21" width="12.44140625" bestFit="1" customWidth="1"/>
    <col min="22" max="22" width="10.21875" bestFit="1" customWidth="1"/>
    <col min="23" max="23" width="8.21875" bestFit="1" customWidth="1"/>
    <col min="24" max="24" width="2.77734375" customWidth="1"/>
    <col min="25" max="25" width="5.6640625" bestFit="1" customWidth="1"/>
    <col min="26" max="26" width="16" bestFit="1" customWidth="1"/>
    <col min="27" max="27" width="13.88671875" bestFit="1" customWidth="1"/>
    <col min="28" max="28" width="7.5546875" bestFit="1" customWidth="1"/>
    <col min="29" max="29" width="12.44140625" bestFit="1" customWidth="1"/>
    <col min="30" max="30" width="10.21875" bestFit="1" customWidth="1"/>
    <col min="31" max="31" width="8.21875" bestFit="1" customWidth="1"/>
  </cols>
  <sheetData>
    <row r="1" spans="1:31" ht="27.6" customHeight="1" x14ac:dyDescent="0.25">
      <c r="A1" s="249" t="s">
        <v>3</v>
      </c>
      <c r="B1" s="249"/>
      <c r="C1" s="249"/>
      <c r="D1" s="249"/>
      <c r="E1" s="249"/>
      <c r="F1" s="249"/>
      <c r="G1" s="249"/>
      <c r="I1" s="249" t="s">
        <v>4</v>
      </c>
      <c r="J1" s="249"/>
      <c r="K1" s="249"/>
      <c r="L1" s="249"/>
      <c r="M1" s="249"/>
      <c r="N1" s="249"/>
      <c r="O1" s="249"/>
      <c r="Q1" s="249" t="s">
        <v>15</v>
      </c>
      <c r="R1" s="249"/>
      <c r="S1" s="249"/>
      <c r="T1" s="249"/>
      <c r="U1" s="249"/>
      <c r="V1" s="249"/>
      <c r="W1" s="249"/>
      <c r="Y1" s="249" t="s">
        <v>14</v>
      </c>
      <c r="Z1" s="249"/>
      <c r="AA1" s="249"/>
      <c r="AB1" s="249"/>
      <c r="AC1" s="249"/>
      <c r="AD1" s="249"/>
      <c r="AE1" s="249"/>
    </row>
    <row r="2" spans="1:31" x14ac:dyDescent="0.25">
      <c r="A2" t="s">
        <v>21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I2" t="s">
        <v>21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Q2" t="s">
        <v>21</v>
      </c>
      <c r="R2" t="s">
        <v>127</v>
      </c>
      <c r="S2" t="s">
        <v>128</v>
      </c>
      <c r="T2" t="s">
        <v>129</v>
      </c>
      <c r="U2" t="s">
        <v>130</v>
      </c>
      <c r="V2" t="s">
        <v>131</v>
      </c>
      <c r="W2" t="s">
        <v>132</v>
      </c>
      <c r="Y2" t="s">
        <v>21</v>
      </c>
      <c r="Z2" t="s">
        <v>127</v>
      </c>
      <c r="AA2" t="s">
        <v>128</v>
      </c>
      <c r="AB2" t="s">
        <v>129</v>
      </c>
      <c r="AC2" t="s">
        <v>130</v>
      </c>
      <c r="AD2" t="s">
        <v>131</v>
      </c>
      <c r="AE2" t="s">
        <v>132</v>
      </c>
    </row>
    <row r="3" spans="1:31" x14ac:dyDescent="0.25">
      <c r="A3" s="221">
        <v>1</v>
      </c>
      <c r="B3" t="s">
        <v>95</v>
      </c>
      <c r="C3" t="s">
        <v>96</v>
      </c>
      <c r="D3" t="s">
        <v>97</v>
      </c>
      <c r="E3">
        <v>2</v>
      </c>
      <c r="F3" t="s">
        <v>98</v>
      </c>
      <c r="G3">
        <v>2024</v>
      </c>
      <c r="I3" s="221">
        <v>1</v>
      </c>
      <c r="J3" t="s">
        <v>135</v>
      </c>
      <c r="K3" t="s">
        <v>99</v>
      </c>
      <c r="L3" t="s">
        <v>136</v>
      </c>
      <c r="M3">
        <v>4</v>
      </c>
      <c r="N3" t="s">
        <v>98</v>
      </c>
      <c r="O3" t="s">
        <v>137</v>
      </c>
      <c r="Q3" s="221">
        <v>1</v>
      </c>
      <c r="R3" t="s">
        <v>45</v>
      </c>
      <c r="S3" t="s">
        <v>99</v>
      </c>
      <c r="T3" t="s">
        <v>110</v>
      </c>
      <c r="U3">
        <v>1</v>
      </c>
      <c r="V3" t="s">
        <v>101</v>
      </c>
      <c r="W3" t="s">
        <v>137</v>
      </c>
      <c r="Y3" s="221">
        <v>1</v>
      </c>
      <c r="Z3" t="s">
        <v>195</v>
      </c>
      <c r="AA3" t="s">
        <v>105</v>
      </c>
      <c r="AB3" t="s">
        <v>136</v>
      </c>
      <c r="AC3">
        <v>3</v>
      </c>
      <c r="AD3" t="s">
        <v>98</v>
      </c>
      <c r="AE3" t="s">
        <v>137</v>
      </c>
    </row>
    <row r="4" spans="1:31" x14ac:dyDescent="0.25">
      <c r="A4" s="221">
        <v>2</v>
      </c>
      <c r="B4" t="s">
        <v>32</v>
      </c>
      <c r="C4" t="s">
        <v>99</v>
      </c>
      <c r="D4" t="s">
        <v>100</v>
      </c>
      <c r="E4">
        <v>6</v>
      </c>
      <c r="F4" t="s">
        <v>101</v>
      </c>
      <c r="G4">
        <v>2024</v>
      </c>
      <c r="I4" s="221">
        <v>2</v>
      </c>
      <c r="J4" t="s">
        <v>990</v>
      </c>
      <c r="K4" t="s">
        <v>138</v>
      </c>
      <c r="L4" t="s">
        <v>136</v>
      </c>
      <c r="M4">
        <v>8</v>
      </c>
      <c r="N4" t="s">
        <v>98</v>
      </c>
      <c r="O4" t="s">
        <v>139</v>
      </c>
      <c r="Q4" s="221">
        <v>2</v>
      </c>
      <c r="R4" t="s">
        <v>170</v>
      </c>
      <c r="S4" t="s">
        <v>103</v>
      </c>
      <c r="T4" t="s">
        <v>171</v>
      </c>
      <c r="U4">
        <v>7</v>
      </c>
      <c r="V4" t="s">
        <v>101</v>
      </c>
      <c r="W4" t="s">
        <v>137</v>
      </c>
      <c r="Y4" s="221">
        <v>2</v>
      </c>
      <c r="Z4" t="s">
        <v>196</v>
      </c>
      <c r="AA4" t="s">
        <v>99</v>
      </c>
      <c r="AB4" t="s">
        <v>161</v>
      </c>
      <c r="AC4">
        <v>5</v>
      </c>
      <c r="AD4" t="s">
        <v>101</v>
      </c>
      <c r="AE4" t="s">
        <v>137</v>
      </c>
    </row>
    <row r="5" spans="1:31" x14ac:dyDescent="0.25">
      <c r="A5" s="221">
        <v>3</v>
      </c>
      <c r="B5" t="s">
        <v>102</v>
      </c>
      <c r="C5" t="s">
        <v>103</v>
      </c>
      <c r="D5" t="s">
        <v>104</v>
      </c>
      <c r="E5">
        <v>12</v>
      </c>
      <c r="F5" t="s">
        <v>101</v>
      </c>
      <c r="G5">
        <v>2024</v>
      </c>
      <c r="I5" s="221">
        <v>3</v>
      </c>
      <c r="J5" t="s">
        <v>140</v>
      </c>
      <c r="K5" t="s">
        <v>105</v>
      </c>
      <c r="L5" t="s">
        <v>100</v>
      </c>
      <c r="M5">
        <v>9</v>
      </c>
      <c r="N5" t="s">
        <v>101</v>
      </c>
      <c r="O5" t="s">
        <v>137</v>
      </c>
      <c r="Q5" s="221">
        <v>3</v>
      </c>
      <c r="R5" t="s">
        <v>172</v>
      </c>
      <c r="S5" t="s">
        <v>105</v>
      </c>
      <c r="T5" t="s">
        <v>108</v>
      </c>
      <c r="U5">
        <v>10</v>
      </c>
      <c r="V5" t="s">
        <v>101</v>
      </c>
      <c r="W5" t="s">
        <v>137</v>
      </c>
      <c r="Y5" s="221">
        <v>3</v>
      </c>
      <c r="Z5" t="s">
        <v>197</v>
      </c>
      <c r="AA5" t="s">
        <v>99</v>
      </c>
      <c r="AB5" t="s">
        <v>146</v>
      </c>
      <c r="AC5">
        <v>11</v>
      </c>
      <c r="AD5" t="s">
        <v>101</v>
      </c>
      <c r="AE5" t="s">
        <v>137</v>
      </c>
    </row>
    <row r="6" spans="1:31" x14ac:dyDescent="0.25">
      <c r="A6" s="221">
        <v>4</v>
      </c>
      <c r="B6" t="s">
        <v>39</v>
      </c>
      <c r="C6" t="s">
        <v>105</v>
      </c>
      <c r="D6" t="s">
        <v>106</v>
      </c>
      <c r="E6">
        <v>16</v>
      </c>
      <c r="F6" t="s">
        <v>101</v>
      </c>
      <c r="G6">
        <v>2024</v>
      </c>
      <c r="I6" s="221">
        <v>4</v>
      </c>
      <c r="J6" t="s">
        <v>141</v>
      </c>
      <c r="K6" t="s">
        <v>103</v>
      </c>
      <c r="L6" t="s">
        <v>100</v>
      </c>
      <c r="M6">
        <v>15</v>
      </c>
      <c r="N6" t="s">
        <v>101</v>
      </c>
      <c r="O6" t="s">
        <v>142</v>
      </c>
      <c r="Q6" s="221">
        <v>4</v>
      </c>
      <c r="R6" t="s">
        <v>173</v>
      </c>
      <c r="S6" t="s">
        <v>99</v>
      </c>
      <c r="T6" t="s">
        <v>174</v>
      </c>
      <c r="U6">
        <v>13</v>
      </c>
      <c r="V6" t="s">
        <v>101</v>
      </c>
      <c r="W6" t="s">
        <v>137</v>
      </c>
      <c r="Y6" s="221">
        <v>4</v>
      </c>
      <c r="Z6" t="s">
        <v>198</v>
      </c>
      <c r="AA6" t="s">
        <v>103</v>
      </c>
      <c r="AB6" t="s">
        <v>146</v>
      </c>
      <c r="AC6">
        <v>14</v>
      </c>
      <c r="AD6" t="s">
        <v>101</v>
      </c>
      <c r="AE6" t="s">
        <v>137</v>
      </c>
    </row>
    <row r="7" spans="1:31" x14ac:dyDescent="0.25">
      <c r="A7" s="221">
        <v>5</v>
      </c>
      <c r="B7" t="s">
        <v>107</v>
      </c>
      <c r="C7" t="s">
        <v>103</v>
      </c>
      <c r="D7" t="s">
        <v>108</v>
      </c>
      <c r="E7">
        <v>19</v>
      </c>
      <c r="F7" t="s">
        <v>101</v>
      </c>
      <c r="G7">
        <v>2024</v>
      </c>
      <c r="I7" s="221">
        <v>5</v>
      </c>
      <c r="J7" t="s">
        <v>143</v>
      </c>
      <c r="K7" t="s">
        <v>37</v>
      </c>
      <c r="L7" t="s">
        <v>144</v>
      </c>
      <c r="M7">
        <v>20</v>
      </c>
      <c r="N7" t="s">
        <v>98</v>
      </c>
      <c r="O7" t="s">
        <v>142</v>
      </c>
      <c r="Q7" s="221">
        <v>5</v>
      </c>
      <c r="R7" t="s">
        <v>175</v>
      </c>
      <c r="S7" t="s">
        <v>103</v>
      </c>
      <c r="T7" t="s">
        <v>123</v>
      </c>
      <c r="U7">
        <v>17</v>
      </c>
      <c r="V7" t="s">
        <v>98</v>
      </c>
      <c r="W7" t="s">
        <v>169</v>
      </c>
      <c r="Y7" s="221">
        <v>5</v>
      </c>
      <c r="Z7" t="s">
        <v>80</v>
      </c>
      <c r="AA7" t="s">
        <v>96</v>
      </c>
      <c r="AB7" t="s">
        <v>171</v>
      </c>
      <c r="AC7">
        <v>18</v>
      </c>
      <c r="AD7" t="s">
        <v>101</v>
      </c>
      <c r="AE7" t="s">
        <v>137</v>
      </c>
    </row>
    <row r="8" spans="1:31" x14ac:dyDescent="0.25">
      <c r="A8" s="221">
        <v>6</v>
      </c>
      <c r="B8" t="s">
        <v>58</v>
      </c>
      <c r="C8" t="s">
        <v>105</v>
      </c>
      <c r="D8" t="s">
        <v>108</v>
      </c>
      <c r="E8">
        <v>21</v>
      </c>
      <c r="F8" t="s">
        <v>101</v>
      </c>
      <c r="G8">
        <v>2024</v>
      </c>
      <c r="I8" s="221">
        <v>6</v>
      </c>
      <c r="J8" t="s">
        <v>145</v>
      </c>
      <c r="K8" t="s">
        <v>99</v>
      </c>
      <c r="L8" t="s">
        <v>146</v>
      </c>
      <c r="M8">
        <v>23</v>
      </c>
      <c r="N8" t="s">
        <v>101</v>
      </c>
      <c r="O8" t="s">
        <v>142</v>
      </c>
      <c r="Q8" s="221">
        <v>6</v>
      </c>
      <c r="R8" t="s">
        <v>675</v>
      </c>
      <c r="S8" t="s">
        <v>99</v>
      </c>
      <c r="T8" t="s">
        <v>146</v>
      </c>
      <c r="U8">
        <v>24</v>
      </c>
      <c r="V8" t="s">
        <v>101</v>
      </c>
      <c r="W8" t="s">
        <v>139</v>
      </c>
      <c r="Y8" s="221">
        <v>6</v>
      </c>
      <c r="Z8" t="s">
        <v>199</v>
      </c>
      <c r="AA8" t="s">
        <v>103</v>
      </c>
      <c r="AB8" t="s">
        <v>112</v>
      </c>
      <c r="AC8">
        <v>22</v>
      </c>
      <c r="AD8" t="s">
        <v>101</v>
      </c>
      <c r="AE8" t="s">
        <v>137</v>
      </c>
    </row>
    <row r="9" spans="1:31" x14ac:dyDescent="0.25">
      <c r="A9" s="221">
        <v>7</v>
      </c>
      <c r="B9" t="s">
        <v>903</v>
      </c>
      <c r="C9" t="s">
        <v>109</v>
      </c>
      <c r="D9" t="s">
        <v>110</v>
      </c>
      <c r="E9">
        <v>27</v>
      </c>
      <c r="F9" t="s">
        <v>101</v>
      </c>
      <c r="G9">
        <v>2024</v>
      </c>
      <c r="I9" s="221">
        <v>7</v>
      </c>
      <c r="J9" t="s">
        <v>147</v>
      </c>
      <c r="K9" t="s">
        <v>105</v>
      </c>
      <c r="L9" t="s">
        <v>112</v>
      </c>
      <c r="M9">
        <v>28</v>
      </c>
      <c r="N9" t="s">
        <v>101</v>
      </c>
      <c r="O9" t="s">
        <v>137</v>
      </c>
      <c r="Q9" s="221">
        <v>7</v>
      </c>
      <c r="R9" t="s">
        <v>176</v>
      </c>
      <c r="S9" t="s">
        <v>138</v>
      </c>
      <c r="T9" t="s">
        <v>148</v>
      </c>
      <c r="U9">
        <v>26</v>
      </c>
      <c r="V9" t="s">
        <v>101</v>
      </c>
      <c r="W9" t="s">
        <v>137</v>
      </c>
      <c r="Y9" s="221">
        <v>7</v>
      </c>
      <c r="Z9" t="s">
        <v>200</v>
      </c>
      <c r="AA9" t="s">
        <v>103</v>
      </c>
      <c r="AB9" t="s">
        <v>174</v>
      </c>
      <c r="AC9">
        <v>25</v>
      </c>
      <c r="AD9" t="s">
        <v>101</v>
      </c>
      <c r="AE9" t="s">
        <v>142</v>
      </c>
    </row>
    <row r="10" spans="1:31" x14ac:dyDescent="0.25">
      <c r="A10" s="221">
        <v>8</v>
      </c>
      <c r="B10" t="s">
        <v>111</v>
      </c>
      <c r="C10" t="s">
        <v>99</v>
      </c>
      <c r="D10" t="s">
        <v>112</v>
      </c>
      <c r="E10">
        <v>32</v>
      </c>
      <c r="F10" t="s">
        <v>101</v>
      </c>
      <c r="G10">
        <v>2024</v>
      </c>
      <c r="I10" s="221">
        <v>8</v>
      </c>
      <c r="J10" t="s">
        <v>88</v>
      </c>
      <c r="K10" t="s">
        <v>138</v>
      </c>
      <c r="L10" t="s">
        <v>148</v>
      </c>
      <c r="M10">
        <v>31</v>
      </c>
      <c r="N10" t="s">
        <v>101</v>
      </c>
      <c r="O10" t="s">
        <v>137</v>
      </c>
      <c r="Q10" s="221">
        <v>8</v>
      </c>
      <c r="R10" t="s">
        <v>177</v>
      </c>
      <c r="S10" t="s">
        <v>96</v>
      </c>
      <c r="T10" t="s">
        <v>161</v>
      </c>
      <c r="U10">
        <v>29</v>
      </c>
      <c r="V10" t="s">
        <v>101</v>
      </c>
      <c r="W10" t="s">
        <v>139</v>
      </c>
      <c r="Y10" s="221">
        <v>8</v>
      </c>
      <c r="Z10" t="s">
        <v>201</v>
      </c>
      <c r="AA10" t="s">
        <v>109</v>
      </c>
      <c r="AB10" t="s">
        <v>100</v>
      </c>
      <c r="AC10">
        <v>30</v>
      </c>
      <c r="AD10" t="s">
        <v>98</v>
      </c>
      <c r="AE10" t="s">
        <v>137</v>
      </c>
    </row>
    <row r="11" spans="1:31" x14ac:dyDescent="0.25">
      <c r="A11" s="221">
        <v>9</v>
      </c>
      <c r="B11" t="s">
        <v>48</v>
      </c>
      <c r="C11" t="s">
        <v>105</v>
      </c>
      <c r="D11" t="s">
        <v>113</v>
      </c>
      <c r="E11">
        <v>35</v>
      </c>
      <c r="F11" t="s">
        <v>101</v>
      </c>
      <c r="G11">
        <v>2024</v>
      </c>
      <c r="I11" s="221">
        <v>9</v>
      </c>
      <c r="J11" t="s">
        <v>149</v>
      </c>
      <c r="K11" t="s">
        <v>99</v>
      </c>
      <c r="L11" t="s">
        <v>150</v>
      </c>
      <c r="M11">
        <v>36</v>
      </c>
      <c r="N11" t="s">
        <v>101</v>
      </c>
      <c r="O11" t="s">
        <v>151</v>
      </c>
      <c r="Q11" s="221">
        <v>9</v>
      </c>
      <c r="R11" t="s">
        <v>91</v>
      </c>
      <c r="S11" t="s">
        <v>138</v>
      </c>
      <c r="T11" t="s">
        <v>168</v>
      </c>
      <c r="U11">
        <v>33</v>
      </c>
      <c r="V11" t="s">
        <v>101</v>
      </c>
      <c r="W11" t="s">
        <v>137</v>
      </c>
      <c r="Y11" s="221">
        <v>9</v>
      </c>
      <c r="Z11" t="s">
        <v>202</v>
      </c>
      <c r="AA11" t="s">
        <v>99</v>
      </c>
      <c r="AB11" t="s">
        <v>115</v>
      </c>
      <c r="AC11">
        <v>34</v>
      </c>
      <c r="AD11" t="s">
        <v>101</v>
      </c>
      <c r="AE11" t="s">
        <v>203</v>
      </c>
    </row>
    <row r="12" spans="1:31" x14ac:dyDescent="0.25">
      <c r="A12" s="221">
        <v>10</v>
      </c>
      <c r="B12" t="s">
        <v>114</v>
      </c>
      <c r="C12" t="s">
        <v>99</v>
      </c>
      <c r="D12" t="s">
        <v>115</v>
      </c>
      <c r="E12">
        <v>39</v>
      </c>
      <c r="F12" t="s">
        <v>101</v>
      </c>
      <c r="G12">
        <v>2017</v>
      </c>
      <c r="I12" s="221">
        <v>10</v>
      </c>
      <c r="J12" t="s">
        <v>41</v>
      </c>
      <c r="K12" t="s">
        <v>99</v>
      </c>
      <c r="L12" t="s">
        <v>150</v>
      </c>
      <c r="M12">
        <v>37</v>
      </c>
      <c r="N12" t="s">
        <v>101</v>
      </c>
      <c r="O12" t="s">
        <v>142</v>
      </c>
      <c r="Q12" s="221">
        <v>10</v>
      </c>
      <c r="R12" t="s">
        <v>178</v>
      </c>
      <c r="S12" t="s">
        <v>155</v>
      </c>
      <c r="T12" t="s">
        <v>158</v>
      </c>
      <c r="U12">
        <v>38</v>
      </c>
      <c r="V12" t="s">
        <v>101</v>
      </c>
      <c r="W12" t="s">
        <v>137</v>
      </c>
      <c r="Y12" s="221">
        <v>10</v>
      </c>
      <c r="Z12" t="s">
        <v>204</v>
      </c>
      <c r="AA12" t="s">
        <v>155</v>
      </c>
      <c r="AB12" t="s">
        <v>158</v>
      </c>
      <c r="AC12">
        <v>40</v>
      </c>
      <c r="AD12" t="s">
        <v>101</v>
      </c>
      <c r="AE12" t="s">
        <v>137</v>
      </c>
    </row>
    <row r="13" spans="1:31" x14ac:dyDescent="0.25">
      <c r="A13" s="221">
        <v>11</v>
      </c>
      <c r="B13" t="s">
        <v>1133</v>
      </c>
      <c r="C13" t="s">
        <v>116</v>
      </c>
      <c r="D13" t="s">
        <v>117</v>
      </c>
      <c r="E13">
        <v>45</v>
      </c>
      <c r="F13" t="s">
        <v>98</v>
      </c>
      <c r="G13">
        <v>2023</v>
      </c>
      <c r="I13" s="221">
        <v>11</v>
      </c>
      <c r="J13" t="s">
        <v>152</v>
      </c>
      <c r="K13" t="s">
        <v>153</v>
      </c>
      <c r="L13" t="s">
        <v>154</v>
      </c>
      <c r="M13">
        <v>44</v>
      </c>
      <c r="N13" t="s">
        <v>98</v>
      </c>
      <c r="O13" t="s">
        <v>137</v>
      </c>
      <c r="Q13" s="221">
        <v>11</v>
      </c>
      <c r="R13" t="s">
        <v>180</v>
      </c>
      <c r="S13" t="s">
        <v>96</v>
      </c>
      <c r="T13" t="s">
        <v>181</v>
      </c>
      <c r="U13">
        <v>46</v>
      </c>
      <c r="V13" t="s">
        <v>101</v>
      </c>
      <c r="W13" t="s">
        <v>137</v>
      </c>
      <c r="Y13" s="221">
        <v>11</v>
      </c>
      <c r="Z13" t="s">
        <v>205</v>
      </c>
      <c r="AA13" t="s">
        <v>99</v>
      </c>
      <c r="AB13" t="s">
        <v>193</v>
      </c>
      <c r="AC13">
        <v>41</v>
      </c>
      <c r="AD13" t="s">
        <v>101</v>
      </c>
      <c r="AE13" t="s">
        <v>137</v>
      </c>
    </row>
    <row r="14" spans="1:31" x14ac:dyDescent="0.25">
      <c r="A14" s="221">
        <v>12</v>
      </c>
      <c r="B14" t="s">
        <v>118</v>
      </c>
      <c r="C14" t="s">
        <v>119</v>
      </c>
      <c r="D14" t="s">
        <v>117</v>
      </c>
      <c r="E14">
        <v>50</v>
      </c>
      <c r="F14" t="s">
        <v>98</v>
      </c>
      <c r="G14">
        <v>2021</v>
      </c>
      <c r="I14" s="221">
        <v>12</v>
      </c>
      <c r="J14" t="s">
        <v>86</v>
      </c>
      <c r="K14" t="s">
        <v>155</v>
      </c>
      <c r="L14" t="s">
        <v>123</v>
      </c>
      <c r="M14">
        <v>48</v>
      </c>
      <c r="N14" t="s">
        <v>98</v>
      </c>
      <c r="O14" t="s">
        <v>137</v>
      </c>
      <c r="Q14" s="221">
        <v>12</v>
      </c>
      <c r="R14" t="s">
        <v>182</v>
      </c>
      <c r="S14" t="s">
        <v>183</v>
      </c>
      <c r="T14" t="s">
        <v>136</v>
      </c>
      <c r="U14">
        <v>47</v>
      </c>
      <c r="V14" t="s">
        <v>98</v>
      </c>
      <c r="W14" t="s">
        <v>165</v>
      </c>
      <c r="Y14" s="221">
        <v>12</v>
      </c>
      <c r="Z14" t="s">
        <v>642</v>
      </c>
      <c r="AA14" t="s">
        <v>207</v>
      </c>
      <c r="AB14" t="s">
        <v>171</v>
      </c>
      <c r="AC14">
        <v>49</v>
      </c>
      <c r="AD14" t="s">
        <v>98</v>
      </c>
      <c r="AE14" t="s">
        <v>137</v>
      </c>
    </row>
    <row r="15" spans="1:31" x14ac:dyDescent="0.25">
      <c r="A15" s="221">
        <v>13</v>
      </c>
      <c r="B15" t="s">
        <v>31</v>
      </c>
      <c r="C15" t="s">
        <v>120</v>
      </c>
      <c r="D15" t="s">
        <v>117</v>
      </c>
      <c r="E15">
        <v>53</v>
      </c>
      <c r="F15" t="s">
        <v>98</v>
      </c>
      <c r="G15">
        <v>2024</v>
      </c>
      <c r="I15" s="221">
        <v>13</v>
      </c>
      <c r="J15" t="s">
        <v>156</v>
      </c>
      <c r="K15" t="s">
        <v>157</v>
      </c>
      <c r="L15" t="s">
        <v>158</v>
      </c>
      <c r="M15">
        <v>54</v>
      </c>
      <c r="N15" t="s">
        <v>98</v>
      </c>
      <c r="O15" t="s">
        <v>137</v>
      </c>
      <c r="Q15" s="221">
        <v>13</v>
      </c>
      <c r="R15" t="s">
        <v>184</v>
      </c>
      <c r="S15" t="s">
        <v>185</v>
      </c>
      <c r="T15" t="s">
        <v>186</v>
      </c>
      <c r="U15">
        <v>51</v>
      </c>
      <c r="V15" t="s">
        <v>98</v>
      </c>
      <c r="W15" t="s">
        <v>137</v>
      </c>
      <c r="Y15" s="221">
        <v>13</v>
      </c>
      <c r="Z15" t="s">
        <v>208</v>
      </c>
      <c r="AA15" t="s">
        <v>209</v>
      </c>
      <c r="AB15" t="s">
        <v>144</v>
      </c>
      <c r="AC15">
        <v>52</v>
      </c>
      <c r="AD15" t="s">
        <v>98</v>
      </c>
      <c r="AE15" t="s">
        <v>165</v>
      </c>
    </row>
    <row r="16" spans="1:31" x14ac:dyDescent="0.25">
      <c r="A16" s="221">
        <v>14</v>
      </c>
      <c r="B16" t="s">
        <v>121</v>
      </c>
      <c r="C16" t="s">
        <v>122</v>
      </c>
      <c r="D16" t="s">
        <v>123</v>
      </c>
      <c r="E16">
        <v>58</v>
      </c>
      <c r="F16" t="s">
        <v>98</v>
      </c>
      <c r="G16">
        <v>2019</v>
      </c>
      <c r="I16" s="221">
        <v>14</v>
      </c>
      <c r="J16" t="s">
        <v>159</v>
      </c>
      <c r="K16" t="s">
        <v>160</v>
      </c>
      <c r="L16" t="s">
        <v>161</v>
      </c>
      <c r="M16">
        <v>57</v>
      </c>
      <c r="N16" t="s">
        <v>98</v>
      </c>
      <c r="O16" t="s">
        <v>162</v>
      </c>
      <c r="Q16" s="221">
        <v>14</v>
      </c>
      <c r="R16" t="s">
        <v>187</v>
      </c>
      <c r="S16" t="s">
        <v>188</v>
      </c>
      <c r="T16" t="s">
        <v>123</v>
      </c>
      <c r="U16">
        <v>55</v>
      </c>
      <c r="V16" t="s">
        <v>98</v>
      </c>
      <c r="W16" t="s">
        <v>189</v>
      </c>
      <c r="Y16" s="221">
        <v>14</v>
      </c>
      <c r="Z16" t="s">
        <v>210</v>
      </c>
      <c r="AA16" t="s">
        <v>211</v>
      </c>
      <c r="AB16" t="s">
        <v>148</v>
      </c>
      <c r="AC16">
        <v>56</v>
      </c>
      <c r="AD16" t="s">
        <v>98</v>
      </c>
      <c r="AE16" t="s">
        <v>162</v>
      </c>
    </row>
    <row r="17" spans="1:31" x14ac:dyDescent="0.25">
      <c r="A17" s="221">
        <v>15</v>
      </c>
      <c r="B17" t="s">
        <v>124</v>
      </c>
      <c r="C17" t="s">
        <v>125</v>
      </c>
      <c r="D17" t="s">
        <v>126</v>
      </c>
      <c r="E17">
        <v>59</v>
      </c>
      <c r="F17" t="s">
        <v>98</v>
      </c>
      <c r="G17">
        <v>2015</v>
      </c>
      <c r="I17" s="221">
        <v>15</v>
      </c>
      <c r="J17" t="s">
        <v>163</v>
      </c>
      <c r="K17" t="s">
        <v>164</v>
      </c>
      <c r="L17" t="s">
        <v>106</v>
      </c>
      <c r="M17">
        <v>61</v>
      </c>
      <c r="N17" t="s">
        <v>98</v>
      </c>
      <c r="O17" t="s">
        <v>165</v>
      </c>
      <c r="Q17" s="221">
        <v>15</v>
      </c>
      <c r="R17" t="s">
        <v>60</v>
      </c>
      <c r="S17" t="s">
        <v>190</v>
      </c>
      <c r="T17" t="s">
        <v>191</v>
      </c>
      <c r="U17">
        <v>62</v>
      </c>
      <c r="V17" t="s">
        <v>98</v>
      </c>
      <c r="W17" t="s">
        <v>169</v>
      </c>
      <c r="Y17" s="221">
        <v>15</v>
      </c>
      <c r="Z17" t="s">
        <v>212</v>
      </c>
      <c r="AA17" t="s">
        <v>213</v>
      </c>
      <c r="AB17" t="s">
        <v>193</v>
      </c>
      <c r="AC17">
        <v>60</v>
      </c>
      <c r="AD17" t="s">
        <v>98</v>
      </c>
      <c r="AE17" t="s">
        <v>139</v>
      </c>
    </row>
    <row r="18" spans="1:31" x14ac:dyDescent="0.25">
      <c r="A18" s="221">
        <v>16</v>
      </c>
      <c r="B18" t="s">
        <v>133</v>
      </c>
      <c r="C18" t="s">
        <v>134</v>
      </c>
      <c r="D18" t="s">
        <v>106</v>
      </c>
      <c r="E18">
        <v>66</v>
      </c>
      <c r="F18" t="s">
        <v>98</v>
      </c>
      <c r="G18">
        <v>2021</v>
      </c>
      <c r="I18" s="221">
        <v>16</v>
      </c>
      <c r="J18" t="s">
        <v>166</v>
      </c>
      <c r="K18" t="s">
        <v>167</v>
      </c>
      <c r="L18" t="s">
        <v>168</v>
      </c>
      <c r="M18">
        <v>63</v>
      </c>
      <c r="N18" t="s">
        <v>98</v>
      </c>
      <c r="O18" t="s">
        <v>169</v>
      </c>
      <c r="Q18" s="221">
        <v>16</v>
      </c>
      <c r="R18" t="s">
        <v>34</v>
      </c>
      <c r="S18" t="s">
        <v>192</v>
      </c>
      <c r="T18" t="s">
        <v>193</v>
      </c>
      <c r="U18">
        <v>67</v>
      </c>
      <c r="V18" t="s">
        <v>98</v>
      </c>
      <c r="W18" t="s">
        <v>194</v>
      </c>
      <c r="Y18" s="221">
        <v>16</v>
      </c>
      <c r="Z18" t="s">
        <v>214</v>
      </c>
      <c r="AA18" t="s">
        <v>215</v>
      </c>
      <c r="AB18" t="s">
        <v>146</v>
      </c>
      <c r="AC18">
        <v>64</v>
      </c>
      <c r="AD18" t="s">
        <v>98</v>
      </c>
      <c r="AE18" t="s">
        <v>165</v>
      </c>
    </row>
    <row r="23" spans="1:31" x14ac:dyDescent="0.25">
      <c r="Q23" s="220"/>
    </row>
  </sheetData>
  <mergeCells count="4">
    <mergeCell ref="A1:G1"/>
    <mergeCell ref="I1:O1"/>
    <mergeCell ref="Q1:W1"/>
    <mergeCell ref="Y1:AE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0" activePane="bottomLeft" state="frozen"/>
      <selection pane="bottomLeft" activeCell="D43" sqref="D43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135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80"/>
  <sheetViews>
    <sheetView showGridLines="0" tabSelected="1" topLeftCell="E1" zoomScale="90" zoomScaleNormal="90" workbookViewId="0">
      <pane ySplit="4" topLeftCell="A5" activePane="bottomLeft" state="frozen"/>
      <selection activeCell="E1" sqref="E1"/>
      <selection pane="bottomLeft" activeCell="Q9" sqref="Q9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3" t="s">
        <v>10</v>
      </c>
      <c r="F3" s="241" t="s">
        <v>21</v>
      </c>
      <c r="G3" s="245" t="s">
        <v>93</v>
      </c>
      <c r="H3" s="245"/>
      <c r="I3" s="245"/>
      <c r="J3" s="241" t="s">
        <v>21</v>
      </c>
      <c r="K3" s="247" t="s">
        <v>24</v>
      </c>
      <c r="L3" s="247"/>
      <c r="M3" s="247" t="s">
        <v>25</v>
      </c>
      <c r="N3" s="247"/>
      <c r="O3" s="241" t="s">
        <v>8</v>
      </c>
      <c r="P3" s="201"/>
      <c r="Q3" s="238" t="s">
        <v>94</v>
      </c>
    </row>
    <row r="4" spans="1:19" ht="14.4" thickBot="1" x14ac:dyDescent="0.3">
      <c r="A4" s="217"/>
      <c r="B4" s="218"/>
      <c r="C4" s="218"/>
      <c r="D4" s="219"/>
      <c r="E4" s="244"/>
      <c r="F4" s="242"/>
      <c r="G4" s="246"/>
      <c r="H4" s="246"/>
      <c r="I4" s="246"/>
      <c r="J4" s="242"/>
      <c r="K4" s="248"/>
      <c r="L4" s="248"/>
      <c r="M4" s="248"/>
      <c r="N4" s="248"/>
      <c r="O4" s="242"/>
      <c r="P4" s="202"/>
      <c r="Q4" s="239"/>
    </row>
    <row r="5" spans="1:19" ht="24" customHeight="1" x14ac:dyDescent="0.25">
      <c r="A5" s="91" t="str">
        <f t="shared" ref="A5:A9" si="0">G5</f>
        <v>Binghamton</v>
      </c>
      <c r="B5" s="91" t="str">
        <f t="shared" ref="B5:B9" si="1">I5</f>
        <v>Boise State</v>
      </c>
      <c r="C5" s="91" t="str">
        <f t="shared" ref="C5:C9" ca="1" si="2">IF(O5="","",IF(A5=O5,B5,A5))</f>
        <v>Boise State</v>
      </c>
      <c r="D5" s="91" t="e">
        <f t="shared" ref="D5:D9" si="3">IF(SeedType=1,0,IF(SeedType=2,VLOOKUP(O5,SeedInfo,2,FALSE)*1,MAX(VLOOKUP(O5,SeedInfo,2,FALSE)-VLOOKUP(C5,SeedInfo,2,FALSE),0)))</f>
        <v>#REF!</v>
      </c>
      <c r="E5" s="116">
        <v>1</v>
      </c>
      <c r="F5" s="117" cm="1">
        <f t="array" ref="F5">_xlfn.XLOOKUP(G5,Teams[[#All],[Team]],Teams[[#All],[Seed]],0,0,1)</f>
        <v>13</v>
      </c>
      <c r="G5" s="118" t="str">
        <f>Teams!C25</f>
        <v>Binghamton</v>
      </c>
      <c r="H5" s="178" t="s">
        <v>9</v>
      </c>
      <c r="I5" s="119" t="str">
        <f>Teams!C26</f>
        <v>Boise State</v>
      </c>
      <c r="J5" s="120" cm="1">
        <f t="array" ref="J5">_xlfn.XLOOKUP(I5,Teams[[#All],[Team]],Teams[[#All],[Seed]],0,0,1)</f>
        <v>6</v>
      </c>
      <c r="K5" s="83" t="e" vm="65">
        <f>_xlfn.XLOOKUP(G5,Teams!$C:$C,Teams!$E:$E,,0,1)</f>
        <v>#VALUE!</v>
      </c>
      <c r="L5" s="83">
        <f t="shared" ref="L5:N9" ca="1" si="4">RANDBETWEEN(90,120)</f>
        <v>118</v>
      </c>
      <c r="M5" s="83" t="e" vm="66">
        <f>_xlfn.XLOOKUP(I5,Teams!$C:$C,Teams!$E:$E,,0,1)</f>
        <v>#VALUE!</v>
      </c>
      <c r="N5" s="83">
        <f t="shared" ca="1" si="4"/>
        <v>110</v>
      </c>
      <c r="O5" s="192" t="str">
        <f t="shared" ref="O5:O9" ca="1" si="5">IF(L5&gt;N5,G5,I5)</f>
        <v>Binghamton</v>
      </c>
      <c r="P5" s="207" t="e" vm="65">
        <f ca="1">_xlfn.XLOOKUP(O5,Teams!$C:$C,Teams!$E:$E,,0,1)</f>
        <v>#VALUE!</v>
      </c>
      <c r="Q5" s="228" t="s">
        <v>1202</v>
      </c>
      <c r="R5" s="6" t="b">
        <f t="shared" ref="R5:R9" ca="1" si="6">IF(
O5=G5,
IF(F5&gt;J5,TRUE,FALSE),
IF(J5&gt;F5,TRUE,FALSE))</f>
        <v>1</v>
      </c>
      <c r="S5" s="98"/>
    </row>
    <row r="6" spans="1:19" ht="24" customHeight="1" x14ac:dyDescent="0.25">
      <c r="A6" s="91" t="str">
        <f t="shared" si="0"/>
        <v>Boston College</v>
      </c>
      <c r="B6" s="91" t="str">
        <f t="shared" si="1"/>
        <v>Florida</v>
      </c>
      <c r="C6" s="91" t="str">
        <f t="shared" ca="1" si="2"/>
        <v>Boston College</v>
      </c>
      <c r="D6" s="91" t="e">
        <f t="shared" si="3"/>
        <v>#REF!</v>
      </c>
      <c r="E6" s="116">
        <v>2</v>
      </c>
      <c r="F6" s="117" cm="1">
        <f t="array" ref="F6">_xlfn.XLOOKUP(G6,Teams[[#All],[Team]],Teams[[#All],[Seed]],0,0,1)</f>
        <v>11</v>
      </c>
      <c r="G6" s="118" t="str">
        <f>Teams!C27</f>
        <v>Boston College</v>
      </c>
      <c r="H6" s="178" t="s">
        <v>9</v>
      </c>
      <c r="I6" s="119" t="str">
        <f>Teams!C28</f>
        <v>Florida</v>
      </c>
      <c r="J6" s="120" cm="1">
        <f t="array" ref="J6">_xlfn.XLOOKUP(I6,Teams[[#All],[Team]],Teams[[#All],[Seed]],0,0,1)</f>
        <v>3</v>
      </c>
      <c r="K6" s="83" t="e" vm="67">
        <f>_xlfn.XLOOKUP(G6,Teams!$C:$C,Teams!$E:$E,,0,1)</f>
        <v>#VALUE!</v>
      </c>
      <c r="L6" s="83">
        <f t="shared" ca="1" si="4"/>
        <v>110</v>
      </c>
      <c r="M6" s="83" t="e" vm="68">
        <f>_xlfn.XLOOKUP(I6,Teams!$C:$C,Teams!$E:$E,,0,1)</f>
        <v>#VALUE!</v>
      </c>
      <c r="N6" s="83">
        <f t="shared" ca="1" si="4"/>
        <v>120</v>
      </c>
      <c r="O6" s="192" t="str">
        <f t="shared" ca="1" si="5"/>
        <v>Florida</v>
      </c>
      <c r="P6" s="207" t="e" vm="68">
        <f ca="1">_xlfn.XLOOKUP(O6,Teams!$C:$C,Teams!$E:$E,,0,1)</f>
        <v>#VALUE!</v>
      </c>
      <c r="Q6" s="228" t="s">
        <v>1202</v>
      </c>
      <c r="R6" s="6" t="b">
        <f t="shared" ca="1" si="6"/>
        <v>0</v>
      </c>
      <c r="S6" s="98"/>
    </row>
    <row r="7" spans="1:19" ht="24" customHeight="1" x14ac:dyDescent="0.25">
      <c r="A7" s="91" t="str">
        <f t="shared" si="0"/>
        <v>Duke</v>
      </c>
      <c r="B7" s="91" t="str">
        <f t="shared" si="1"/>
        <v>Bradley</v>
      </c>
      <c r="C7" s="91" t="str">
        <f t="shared" ca="1" si="2"/>
        <v>Duke</v>
      </c>
      <c r="D7" s="91" t="e">
        <f t="shared" si="3"/>
        <v>#REF!</v>
      </c>
      <c r="E7" s="116">
        <v>3</v>
      </c>
      <c r="F7" s="117" cm="1">
        <f t="array" ref="F7">_xlfn.XLOOKUP(G7,Teams[[#All],[Team]],Teams[[#All],[Seed]],0,0,1)</f>
        <v>14</v>
      </c>
      <c r="G7" s="118" t="str">
        <f>Teams!C29</f>
        <v>Duke</v>
      </c>
      <c r="H7" s="178" t="s">
        <v>9</v>
      </c>
      <c r="I7" s="119" t="str">
        <f>Teams!C30</f>
        <v>Bradley</v>
      </c>
      <c r="J7" s="120" cm="1">
        <f t="array" ref="J7">_xlfn.XLOOKUP(I7,Teams[[#All],[Team]],Teams[[#All],[Seed]],0,0,1)</f>
        <v>7</v>
      </c>
      <c r="K7" s="83" t="e" vm="69">
        <f>_xlfn.XLOOKUP(G7,Teams!$C:$C,Teams!$E:$E,,0,1)</f>
        <v>#VALUE!</v>
      </c>
      <c r="L7" s="83">
        <f t="shared" ca="1" si="4"/>
        <v>94</v>
      </c>
      <c r="M7" s="83" t="e" vm="70">
        <f>_xlfn.XLOOKUP(I7,Teams!$C:$C,Teams!$E:$E,,0,1)</f>
        <v>#VALUE!</v>
      </c>
      <c r="N7" s="83">
        <f t="shared" ca="1" si="4"/>
        <v>112</v>
      </c>
      <c r="O7" s="192" t="str">
        <f t="shared" ca="1" si="5"/>
        <v>Bradley</v>
      </c>
      <c r="P7" s="207" t="e" vm="70">
        <f ca="1">_xlfn.XLOOKUP(O7,Teams!$C:$C,Teams!$E:$E,,0,1)</f>
        <v>#VALUE!</v>
      </c>
      <c r="Q7" s="228" t="s">
        <v>1202</v>
      </c>
      <c r="R7" s="6" t="b">
        <f t="shared" ca="1" si="6"/>
        <v>0</v>
      </c>
      <c r="S7" s="98"/>
    </row>
    <row r="8" spans="1:19" ht="24" customHeight="1" thickBot="1" x14ac:dyDescent="0.3">
      <c r="A8" s="91" t="str">
        <f t="shared" si="0"/>
        <v>Brigham Young</v>
      </c>
      <c r="B8" s="91" t="str">
        <f t="shared" si="1"/>
        <v>Brown</v>
      </c>
      <c r="C8" s="91" t="str">
        <f t="shared" ca="1" si="2"/>
        <v>Brown</v>
      </c>
      <c r="D8" s="91" t="e">
        <f t="shared" si="3"/>
        <v>#REF!</v>
      </c>
      <c r="E8" s="121">
        <v>4</v>
      </c>
      <c r="F8" s="122" cm="1">
        <f t="array" ref="F8">_xlfn.XLOOKUP(G8,Teams[[#All],[Team]],Teams[[#All],[Seed]],0,0,1)</f>
        <v>10</v>
      </c>
      <c r="G8" s="123" t="str">
        <f>Teams!C31</f>
        <v>Brigham Young</v>
      </c>
      <c r="H8" s="179" t="s">
        <v>9</v>
      </c>
      <c r="I8" s="124" t="str">
        <f>Teams!C32</f>
        <v>Brown</v>
      </c>
      <c r="J8" s="125" cm="1">
        <f t="array" ref="J8">_xlfn.XLOOKUP(I8,Teams[[#All],[Team]],Teams[[#All],[Seed]],0,0,1)</f>
        <v>2</v>
      </c>
      <c r="K8" s="126" t="e" vm="71">
        <f>_xlfn.XLOOKUP(G8,Teams!$C:$C,Teams!$E:$E,,0,1)</f>
        <v>#VALUE!</v>
      </c>
      <c r="L8" s="126">
        <f t="shared" ca="1" si="4"/>
        <v>117</v>
      </c>
      <c r="M8" s="126" t="e" vm="72">
        <f>_xlfn.XLOOKUP(I8,Teams!$C:$C,Teams!$E:$E,,0,1)</f>
        <v>#VALUE!</v>
      </c>
      <c r="N8" s="126">
        <f t="shared" ca="1" si="4"/>
        <v>111</v>
      </c>
      <c r="O8" s="193" t="str">
        <f t="shared" ca="1" si="5"/>
        <v>Brigham Young</v>
      </c>
      <c r="P8" s="208" t="e" vm="71">
        <f ca="1">_xlfn.XLOOKUP(O8,Teams!$C:$C,Teams!$E:$E,,0,1)</f>
        <v>#VALUE!</v>
      </c>
      <c r="Q8" s="229" t="s">
        <v>1202</v>
      </c>
      <c r="R8" s="6" t="b">
        <f t="shared" ca="1" si="6"/>
        <v>1</v>
      </c>
      <c r="S8" s="98"/>
    </row>
    <row r="9" spans="1:19" ht="24" customHeight="1" thickBot="1" x14ac:dyDescent="0.3">
      <c r="E9" s="67" t="s">
        <v>10</v>
      </c>
      <c r="F9" s="240" t="s">
        <v>19</v>
      </c>
      <c r="G9" s="240"/>
      <c r="H9" s="240"/>
      <c r="I9" s="240"/>
      <c r="J9" s="240"/>
      <c r="K9" s="68"/>
      <c r="L9" s="68"/>
      <c r="M9" s="68"/>
      <c r="N9" s="68"/>
      <c r="O9" s="68" t="s">
        <v>8</v>
      </c>
      <c r="P9" s="68"/>
      <c r="Q9" s="231"/>
      <c r="S9" s="98"/>
    </row>
    <row r="10" spans="1:19" ht="24" customHeight="1" x14ac:dyDescent="0.25">
      <c r="A10" s="91" t="str">
        <f>G10</f>
        <v>Abilene Christian</v>
      </c>
      <c r="B10" s="91" t="str">
        <f t="shared" ref="B10:B41" si="7">I10</f>
        <v>Air Force</v>
      </c>
      <c r="C10" s="91" t="str">
        <f t="shared" ref="C10:C41" ca="1" si="8">IF(O10="","",IF(A10=O10,B10,A10))</f>
        <v>Air Force</v>
      </c>
      <c r="D10" s="91" t="e">
        <f t="shared" ref="D10:D41" si="9">IF(SeedType=1,0,IF(SeedType=2,VLOOKUP(O10,SeedInfo,2,FALSE)*1,MAX(VLOOKUP(O10,SeedInfo,2,FALSE)-VLOOKUP(C10,SeedInfo,2,FALSE),0)))</f>
        <v>#REF!</v>
      </c>
      <c r="E10" s="129">
        <v>1</v>
      </c>
      <c r="F10" s="130" cm="1">
        <f t="array" ref="F10">_xlfn.XLOOKUP(G10,Teams[[#All],[Team]],Teams[[#All],[Seed]],0,0,1)</f>
        <v>1</v>
      </c>
      <c r="G10" s="131" t="str">
        <f>Teams!C2</f>
        <v>Abilene Christian</v>
      </c>
      <c r="H10" s="181" t="s">
        <v>9</v>
      </c>
      <c r="I10" s="132" t="str">
        <f>Teams!C3</f>
        <v>Air Force</v>
      </c>
      <c r="J10" s="133" cm="1">
        <f t="array" ref="J10">_xlfn.XLOOKUP(I10,Teams[[#All],[Team]],Teams[[#All],[Seed]],0,0,1)</f>
        <v>16</v>
      </c>
      <c r="K10" s="84" t="e" vm="73">
        <f>_xlfn.XLOOKUP(G10,Teams!$C:$C,Teams!$E:$E,,0,1)</f>
        <v>#VALUE!</v>
      </c>
      <c r="L10" s="84">
        <f ca="1">RANDBETWEEN(90,120)</f>
        <v>115</v>
      </c>
      <c r="M10" s="84" t="e" vm="74">
        <f>_xlfn.XLOOKUP(I10,Teams!$C:$C,Teams!$E:$E,,0,1)</f>
        <v>#VALUE!</v>
      </c>
      <c r="N10" s="84">
        <f ca="1">RANDBETWEEN(90,120)</f>
        <v>111</v>
      </c>
      <c r="O10" s="194" t="str">
        <f t="shared" ref="O10:O41" ca="1" si="10">IF(L10&gt;N10,G10,I10)</f>
        <v>Abilene Christian</v>
      </c>
      <c r="P10" s="209" t="e" vm="73">
        <f ca="1">_xlfn.XLOOKUP(O10,Teams!$C:$C,Teams!$E:$E,,0,1)</f>
        <v>#VALUE!</v>
      </c>
      <c r="Q10" s="225" t="s">
        <v>1202</v>
      </c>
      <c r="R10" s="6" t="b">
        <f ca="1">IF(
O10=G10,
IF(F10&gt;J10,TRUE,FALSE),
IF(J10&gt;F10,TRUE,FALSE))</f>
        <v>0</v>
      </c>
      <c r="S10" s="98"/>
    </row>
    <row r="11" spans="1:19" ht="24" customHeight="1" x14ac:dyDescent="0.25">
      <c r="A11" s="91" t="str">
        <f t="shared" ref="A11:A25" si="11">G11</f>
        <v>Akron</v>
      </c>
      <c r="B11" s="91" t="str">
        <f t="shared" si="7"/>
        <v>Alabama</v>
      </c>
      <c r="C11" s="91" t="str">
        <f t="shared" ca="1" si="8"/>
        <v>Akron</v>
      </c>
      <c r="D11" s="91" t="e">
        <f t="shared" si="9"/>
        <v>#REF!</v>
      </c>
      <c r="E11" s="99">
        <v>2</v>
      </c>
      <c r="F11" s="100" cm="1">
        <f t="array" ref="F11">_xlfn.XLOOKUP(G11,Teams[[#All],[Team]],Teams[[#All],[Seed]],0,0,1)</f>
        <v>8</v>
      </c>
      <c r="G11" s="101" t="str">
        <f>Teams!C4</f>
        <v>Akron</v>
      </c>
      <c r="H11" s="176" t="s">
        <v>9</v>
      </c>
      <c r="I11" s="102" t="str">
        <f>Teams!C5</f>
        <v>Alabama</v>
      </c>
      <c r="J11" s="103" cm="1">
        <f t="array" ref="J11">_xlfn.XLOOKUP(I11,Teams[[#All],[Team]],Teams[[#All],[Seed]],0,0,1)</f>
        <v>9</v>
      </c>
      <c r="K11" s="82" t="e" vm="75">
        <f>_xlfn.XLOOKUP(G11,Teams!$C:$C,Teams!$E:$E,,0,1)</f>
        <v>#VALUE!</v>
      </c>
      <c r="L11" s="82">
        <f t="shared" ref="L11:N41" ca="1" si="12">RANDBETWEEN(90,120)</f>
        <v>97</v>
      </c>
      <c r="M11" s="82" t="e" vm="76">
        <f>_xlfn.XLOOKUP(I11,Teams!$C:$C,Teams!$E:$E,,0,1)</f>
        <v>#VALUE!</v>
      </c>
      <c r="N11" s="82">
        <f t="shared" ca="1" si="12"/>
        <v>120</v>
      </c>
      <c r="O11" s="189" t="str">
        <f t="shared" ca="1" si="10"/>
        <v>Alabama</v>
      </c>
      <c r="P11" s="204" t="e" vm="76">
        <f ca="1">_xlfn.XLOOKUP(O11,Teams!$C:$C,Teams!$E:$E,,0,1)</f>
        <v>#VALUE!</v>
      </c>
      <c r="Q11" s="225" t="s">
        <v>1202</v>
      </c>
      <c r="R11" s="6" t="b">
        <f t="shared" ref="R11:R74" ca="1" si="13">IF(
O11=G11,
IF(F11&gt;J11,TRUE,FALSE),
IF(J11&gt;F11,TRUE,FALSE))</f>
        <v>1</v>
      </c>
      <c r="S11" s="98"/>
    </row>
    <row r="12" spans="1:19" ht="24" customHeight="1" x14ac:dyDescent="0.25">
      <c r="A12" s="91" t="str">
        <f t="shared" si="11"/>
        <v>Alabama A&amp;M</v>
      </c>
      <c r="B12" s="91" t="str">
        <f t="shared" si="7"/>
        <v>Arizona</v>
      </c>
      <c r="C12" s="91" t="str">
        <f t="shared" ca="1" si="8"/>
        <v>Alabama A&amp;M</v>
      </c>
      <c r="D12" s="91" t="e">
        <f t="shared" si="9"/>
        <v>#REF!</v>
      </c>
      <c r="E12" s="99">
        <v>3</v>
      </c>
      <c r="F12" s="100" cm="1">
        <f t="array" ref="F12">_xlfn.XLOOKUP(G12,Teams[[#All],[Team]],Teams[[#All],[Seed]],0,0,1)</f>
        <v>5</v>
      </c>
      <c r="G12" s="101" t="str">
        <f>Teams!C6</f>
        <v>Alabama A&amp;M</v>
      </c>
      <c r="H12" s="176" t="s">
        <v>9</v>
      </c>
      <c r="I12" s="102" t="str">
        <f>Teams[[#This Row],[Team]]</f>
        <v>Arizona</v>
      </c>
      <c r="J12" s="103" cm="1">
        <f t="array" ref="J12">_xlfn.XLOOKUP(I12,Teams[[#All],[Team]],Teams[[#All],[Seed]],0,0,1)</f>
        <v>3</v>
      </c>
      <c r="K12" s="82" t="e" vm="77">
        <f>_xlfn.XLOOKUP(G12,Teams!$C:$C,Teams!$E:$E,,0,1)</f>
        <v>#VALUE!</v>
      </c>
      <c r="L12" s="82">
        <f t="shared" ca="1" si="12"/>
        <v>95</v>
      </c>
      <c r="M12" s="82" t="e" vm="78">
        <f>_xlfn.XLOOKUP(I12,Teams!$C:$C,Teams!$E:$E,,0,1)</f>
        <v>#VALUE!</v>
      </c>
      <c r="N12" s="82">
        <f t="shared" ca="1" si="12"/>
        <v>120</v>
      </c>
      <c r="O12" s="189" t="str">
        <f t="shared" ca="1" si="10"/>
        <v>Arizona</v>
      </c>
      <c r="P12" s="204" t="e" vm="78">
        <f ca="1">_xlfn.XLOOKUP(O12,Teams!$C:$C,Teams!$E:$E,,0,1)</f>
        <v>#VALUE!</v>
      </c>
      <c r="Q12" s="225" t="s">
        <v>1202</v>
      </c>
      <c r="R12" s="6" t="b">
        <f t="shared" ca="1" si="13"/>
        <v>0</v>
      </c>
      <c r="S12" s="98"/>
    </row>
    <row r="13" spans="1:19" ht="24" customHeight="1" x14ac:dyDescent="0.25">
      <c r="A13" s="91" t="str">
        <f t="shared" si="11"/>
        <v>Arizona State</v>
      </c>
      <c r="B13" s="91" t="str">
        <f t="shared" si="7"/>
        <v>Alcorn State</v>
      </c>
      <c r="C13" s="91" t="str">
        <f t="shared" ca="1" si="8"/>
        <v>Arizona State</v>
      </c>
      <c r="D13" s="91" t="e">
        <f t="shared" si="9"/>
        <v>#REF!</v>
      </c>
      <c r="E13" s="99">
        <v>4</v>
      </c>
      <c r="F13" s="100" cm="1">
        <f t="array" ref="F13">_xlfn.XLOOKUP(G13,Teams[[#All],[Team]],Teams[[#All],[Seed]],0,0,1)</f>
        <v>14</v>
      </c>
      <c r="G13" s="101" t="str">
        <f>Teams[[#This Row],[Team]]</f>
        <v>Arizona State</v>
      </c>
      <c r="H13" s="176" t="s">
        <v>9</v>
      </c>
      <c r="I13" s="102" t="str">
        <f>Teams!C9</f>
        <v>Alcorn State</v>
      </c>
      <c r="J13" s="103" cm="1">
        <f t="array" ref="J13">_xlfn.XLOOKUP(I13,Teams[[#All],[Team]],Teams[[#All],[Seed]],0,0,1)</f>
        <v>13</v>
      </c>
      <c r="K13" s="82" t="e" vm="79">
        <f>_xlfn.XLOOKUP(G13,Teams!$C:$C,Teams!$E:$E,,0,1)</f>
        <v>#VALUE!</v>
      </c>
      <c r="L13" s="82">
        <f t="shared" ca="1" si="12"/>
        <v>103</v>
      </c>
      <c r="M13" s="82" t="e" vm="80">
        <f>_xlfn.XLOOKUP(I13,Teams!$C:$C,Teams!$E:$E,,0,1)</f>
        <v>#VALUE!</v>
      </c>
      <c r="N13" s="82">
        <f t="shared" ca="1" si="12"/>
        <v>112</v>
      </c>
      <c r="O13" s="189" t="str">
        <f t="shared" ca="1" si="10"/>
        <v>Alcorn State</v>
      </c>
      <c r="P13" s="204" t="e" vm="80">
        <f ca="1">_xlfn.XLOOKUP(O13,Teams!$C:$C,Teams!$E:$E,,0,1)</f>
        <v>#VALUE!</v>
      </c>
      <c r="Q13" s="225" t="s">
        <v>1202</v>
      </c>
      <c r="R13" s="6" t="b">
        <f t="shared" ca="1" si="13"/>
        <v>0</v>
      </c>
      <c r="S13" s="98"/>
    </row>
    <row r="14" spans="1:19" ht="24" customHeight="1" x14ac:dyDescent="0.25">
      <c r="A14" s="91" t="str">
        <f t="shared" si="11"/>
        <v>American</v>
      </c>
      <c r="B14" s="91" t="str">
        <f t="shared" si="7"/>
        <v>Appalachian State</v>
      </c>
      <c r="C14" s="91" t="str">
        <f t="shared" ca="1" si="8"/>
        <v>American</v>
      </c>
      <c r="D14" s="91" t="e">
        <f t="shared" si="9"/>
        <v>#REF!</v>
      </c>
      <c r="E14" s="99">
        <v>5</v>
      </c>
      <c r="F14" s="100" cm="1">
        <f t="array" ref="F14">_xlfn.XLOOKUP(G14,Teams[[#All],[Team]],Teams[[#All],[Seed]],0,0,1)</f>
        <v>6</v>
      </c>
      <c r="G14" s="101" t="str">
        <f>Teams!C10</f>
        <v>American</v>
      </c>
      <c r="H14" s="176" t="s">
        <v>9</v>
      </c>
      <c r="I14" s="102" t="str">
        <f>Teams!C11</f>
        <v>Appalachian State</v>
      </c>
      <c r="J14" s="103" cm="1">
        <f t="array" ref="J14">_xlfn.XLOOKUP(I14,Teams[[#All],[Team]],Teams[[#All],[Seed]],0,0,1)</f>
        <v>11</v>
      </c>
      <c r="K14" s="82" t="e" vm="81">
        <f>_xlfn.XLOOKUP(G14,Teams!$C:$C,Teams!$E:$E,,0,1)</f>
        <v>#VALUE!</v>
      </c>
      <c r="L14" s="82">
        <f t="shared" ca="1" si="12"/>
        <v>106</v>
      </c>
      <c r="M14" s="82" t="e" vm="82">
        <f>_xlfn.XLOOKUP(I14,Teams!$C:$C,Teams!$E:$E,,0,1)</f>
        <v>#VALUE!</v>
      </c>
      <c r="N14" s="82">
        <f t="shared" ca="1" si="12"/>
        <v>120</v>
      </c>
      <c r="O14" s="189" t="str">
        <f t="shared" ca="1" si="10"/>
        <v>Appalachian State</v>
      </c>
      <c r="P14" s="204" t="e" vm="82">
        <f ca="1">_xlfn.XLOOKUP(O14,Teams!$C:$C,Teams!$E:$E,,0,1)</f>
        <v>#VALUE!</v>
      </c>
      <c r="Q14" s="225" t="s">
        <v>1202</v>
      </c>
      <c r="R14" s="6" t="b">
        <f t="shared" ca="1" si="13"/>
        <v>1</v>
      </c>
      <c r="S14" s="98"/>
    </row>
    <row r="15" spans="1:19" ht="24" customHeight="1" x14ac:dyDescent="0.25">
      <c r="A15" s="91" t="str">
        <f t="shared" si="11"/>
        <v>Arizona</v>
      </c>
      <c r="B15" s="91" t="str">
        <f t="shared" si="7"/>
        <v>Arizona State</v>
      </c>
      <c r="C15" s="91" t="str">
        <f t="shared" ca="1" si="8"/>
        <v>Arizona</v>
      </c>
      <c r="D15" s="91" t="e">
        <f t="shared" si="9"/>
        <v>#REF!</v>
      </c>
      <c r="E15" s="99">
        <v>6</v>
      </c>
      <c r="F15" s="100" cm="1">
        <f t="array" ref="F15">_xlfn.XLOOKUP(G15,Teams[[#All],[Team]],Teams[[#All],[Seed]],0,0,1)</f>
        <v>3</v>
      </c>
      <c r="G15" s="101" t="str">
        <f>Teams!C12</f>
        <v>Arizona</v>
      </c>
      <c r="H15" s="176" t="s">
        <v>9</v>
      </c>
      <c r="I15" s="102" t="str">
        <f>Teams!C13</f>
        <v>Arizona State</v>
      </c>
      <c r="J15" s="103" cm="1">
        <f t="array" ref="J15">_xlfn.XLOOKUP(I15,Teams[[#All],[Team]],Teams[[#All],[Seed]],0,0,1)</f>
        <v>14</v>
      </c>
      <c r="K15" s="82" t="e" vm="78">
        <f>_xlfn.XLOOKUP(G15,Teams!$C:$C,Teams!$E:$E,,0,1)</f>
        <v>#VALUE!</v>
      </c>
      <c r="L15" s="82">
        <f t="shared" ca="1" si="12"/>
        <v>95</v>
      </c>
      <c r="M15" s="82" t="e" vm="79">
        <f>_xlfn.XLOOKUP(I15,Teams!$C:$C,Teams!$E:$E,,0,1)</f>
        <v>#VALUE!</v>
      </c>
      <c r="N15" s="82">
        <f t="shared" ca="1" si="12"/>
        <v>115</v>
      </c>
      <c r="O15" s="189" t="str">
        <f t="shared" ca="1" si="10"/>
        <v>Arizona State</v>
      </c>
      <c r="P15" s="204" t="e" vm="79">
        <f ca="1">_xlfn.XLOOKUP(O15,Teams!$C:$C,Teams!$E:$E,,0,1)</f>
        <v>#VALUE!</v>
      </c>
      <c r="Q15" s="225" t="s">
        <v>1202</v>
      </c>
      <c r="R15" s="6" t="b">
        <f t="shared" ca="1" si="13"/>
        <v>1</v>
      </c>
      <c r="S15" s="98"/>
    </row>
    <row r="16" spans="1:19" ht="24" customHeight="1" x14ac:dyDescent="0.25">
      <c r="A16" s="91" t="str">
        <f t="shared" si="11"/>
        <v>Arkansas</v>
      </c>
      <c r="B16" s="91" t="str">
        <f t="shared" si="7"/>
        <v>Arkansas State</v>
      </c>
      <c r="C16" s="91" t="str">
        <f t="shared" ca="1" si="8"/>
        <v>Arkansas State</v>
      </c>
      <c r="D16" s="91" t="e">
        <f t="shared" si="9"/>
        <v>#REF!</v>
      </c>
      <c r="E16" s="99">
        <v>7</v>
      </c>
      <c r="F16" s="100" cm="1">
        <f t="array" ref="F16">_xlfn.XLOOKUP(G16,Teams[[#All],[Team]],Teams[[#All],[Seed]],0,0,1)</f>
        <v>7</v>
      </c>
      <c r="G16" s="101" t="str">
        <f>Teams!C14</f>
        <v>Arkansas</v>
      </c>
      <c r="H16" s="176" t="s">
        <v>9</v>
      </c>
      <c r="I16" s="102" t="str">
        <f>Teams!C15</f>
        <v>Arkansas State</v>
      </c>
      <c r="J16" s="103" cm="1">
        <f t="array" ref="J16">_xlfn.XLOOKUP(I16,Teams[[#All],[Team]],Teams[[#All],[Seed]],0,0,1)</f>
        <v>10</v>
      </c>
      <c r="K16" s="82" t="e" vm="83">
        <f>_xlfn.XLOOKUP(G16,Teams!$C:$C,Teams!$E:$E,,0,1)</f>
        <v>#VALUE!</v>
      </c>
      <c r="L16" s="82">
        <f t="shared" ca="1" si="12"/>
        <v>117</v>
      </c>
      <c r="M16" s="82" t="e" vm="84">
        <f>_xlfn.XLOOKUP(I16,Teams!$C:$C,Teams!$E:$E,,0,1)</f>
        <v>#VALUE!</v>
      </c>
      <c r="N16" s="82">
        <f t="shared" ca="1" si="12"/>
        <v>105</v>
      </c>
      <c r="O16" s="189" t="str">
        <f t="shared" ca="1" si="10"/>
        <v>Arkansas</v>
      </c>
      <c r="P16" s="204" t="e" vm="83">
        <f ca="1">_xlfn.XLOOKUP(O16,Teams!$C:$C,Teams!$E:$E,,0,1)</f>
        <v>#VALUE!</v>
      </c>
      <c r="Q16" s="225" t="s">
        <v>1202</v>
      </c>
      <c r="R16" s="6" t="b">
        <f t="shared" ca="1" si="13"/>
        <v>0</v>
      </c>
      <c r="S16" s="98"/>
    </row>
    <row r="17" spans="1:19" ht="24" customHeight="1" thickBot="1" x14ac:dyDescent="0.3">
      <c r="A17" s="91" t="str">
        <f t="shared" si="11"/>
        <v>Arkansas-Pine Bluff</v>
      </c>
      <c r="B17" s="91" t="str">
        <f t="shared" si="7"/>
        <v>Army</v>
      </c>
      <c r="C17" s="91" t="str">
        <f t="shared" ca="1" si="8"/>
        <v>Arkansas-Pine Bluff</v>
      </c>
      <c r="D17" s="91" t="e">
        <f t="shared" si="9"/>
        <v>#REF!</v>
      </c>
      <c r="E17" s="104">
        <v>8</v>
      </c>
      <c r="F17" s="105" cm="1">
        <f t="array" ref="F17">_xlfn.XLOOKUP(G17,Teams[[#All],[Team]],Teams[[#All],[Seed]],0,0,1)</f>
        <v>2</v>
      </c>
      <c r="G17" s="106" t="str">
        <f>Teams!C16</f>
        <v>Arkansas-Pine Bluff</v>
      </c>
      <c r="H17" s="177" t="s">
        <v>9</v>
      </c>
      <c r="I17" s="107" t="str">
        <f>Teams!C17</f>
        <v>Army</v>
      </c>
      <c r="J17" s="108" cm="1">
        <f t="array" ref="J17">_xlfn.XLOOKUP(I17,Teams[[#All],[Team]],Teams[[#All],[Seed]],0,0,1)</f>
        <v>15</v>
      </c>
      <c r="K17" s="109" t="e" vm="85">
        <f>_xlfn.XLOOKUP(G17,Teams!$C:$C,Teams!$E:$E,,0,1)</f>
        <v>#VALUE!</v>
      </c>
      <c r="L17" s="109">
        <f t="shared" ca="1" si="12"/>
        <v>96</v>
      </c>
      <c r="M17" s="109" t="e" vm="86">
        <f>_xlfn.XLOOKUP(I17,Teams!$C:$C,Teams!$E:$E,,0,1)</f>
        <v>#VALUE!</v>
      </c>
      <c r="N17" s="109">
        <f t="shared" ca="1" si="12"/>
        <v>114</v>
      </c>
      <c r="O17" s="190" t="str">
        <f t="shared" ca="1" si="10"/>
        <v>Army</v>
      </c>
      <c r="P17" s="205" t="e" vm="86">
        <f ca="1">_xlfn.XLOOKUP(O17,Teams!$C:$C,Teams!$E:$E,,0,1)</f>
        <v>#VALUE!</v>
      </c>
      <c r="Q17" s="226" t="s">
        <v>1202</v>
      </c>
      <c r="R17" s="6" t="b">
        <f t="shared" ca="1" si="13"/>
        <v>1</v>
      </c>
      <c r="S17" s="98"/>
    </row>
    <row r="18" spans="1:19" ht="24" customHeight="1" x14ac:dyDescent="0.25">
      <c r="A18" s="91" t="str">
        <f t="shared" si="11"/>
        <v>Auburn</v>
      </c>
      <c r="B18" s="91" t="str">
        <f t="shared" si="7"/>
        <v>Austin Peay</v>
      </c>
      <c r="C18" s="91" t="str">
        <f t="shared" ca="1" si="8"/>
        <v>Austin Peay</v>
      </c>
      <c r="D18" s="91" t="e">
        <f t="shared" si="9"/>
        <v>#REF!</v>
      </c>
      <c r="E18" s="110">
        <v>9</v>
      </c>
      <c r="F18" s="111" cm="1">
        <f t="array" ref="F18">_xlfn.XLOOKUP(G18,Teams[[#All],[Team]],Teams[[#All],[Seed]],0,0,1)</f>
        <v>1</v>
      </c>
      <c r="G18" s="112" t="str">
        <f>Teams!C18</f>
        <v>Auburn</v>
      </c>
      <c r="H18" s="223" t="s">
        <v>9</v>
      </c>
      <c r="I18" s="113" t="str">
        <f>Teams!C19</f>
        <v>Austin Peay</v>
      </c>
      <c r="J18" s="114" cm="1">
        <f t="array" ref="J18">_xlfn.XLOOKUP(I18,Teams[[#All],[Team]],Teams[[#All],[Seed]],0,0,1)</f>
        <v>16</v>
      </c>
      <c r="K18" s="115" t="e" vm="87">
        <f>_xlfn.XLOOKUP(G18,Teams!$C:$C,Teams!$E:$E,,0,1)</f>
        <v>#VALUE!</v>
      </c>
      <c r="L18" s="115">
        <f t="shared" ca="1" si="12"/>
        <v>113</v>
      </c>
      <c r="M18" s="115" t="e" vm="88">
        <f>_xlfn.XLOOKUP(I18,Teams!$C:$C,Teams!$E:$E,,0,1)</f>
        <v>#VALUE!</v>
      </c>
      <c r="N18" s="115">
        <f t="shared" ca="1" si="12"/>
        <v>91</v>
      </c>
      <c r="O18" s="191" t="str">
        <f t="shared" ca="1" si="10"/>
        <v>Auburn</v>
      </c>
      <c r="P18" s="206" t="e" vm="87">
        <f ca="1">_xlfn.XLOOKUP(O18,Teams!$C:$C,Teams!$E:$E,,0,1)</f>
        <v>#VALUE!</v>
      </c>
      <c r="Q18" s="227" t="s">
        <v>1202</v>
      </c>
      <c r="R18" s="6" t="b">
        <f t="shared" ca="1" si="13"/>
        <v>0</v>
      </c>
      <c r="S18" s="98"/>
    </row>
    <row r="19" spans="1:19" ht="24" customHeight="1" x14ac:dyDescent="0.25">
      <c r="A19" s="91" t="str">
        <f t="shared" si="11"/>
        <v>Ball State</v>
      </c>
      <c r="B19" s="91" t="str">
        <f t="shared" si="7"/>
        <v>Baylor</v>
      </c>
      <c r="C19" s="91" t="str">
        <f t="shared" ca="1" si="8"/>
        <v>Ball State</v>
      </c>
      <c r="D19" s="91" t="e">
        <f t="shared" si="9"/>
        <v>#REF!</v>
      </c>
      <c r="E19" s="116">
        <v>10</v>
      </c>
      <c r="F19" s="117" cm="1">
        <f t="array" ref="F19">_xlfn.XLOOKUP(G19,Teams[[#All],[Team]],Teams[[#All],[Seed]],0,0,1)</f>
        <v>8</v>
      </c>
      <c r="G19" s="118" t="str">
        <f>Teams!C20</f>
        <v>Ball State</v>
      </c>
      <c r="H19" s="178" t="s">
        <v>9</v>
      </c>
      <c r="I19" s="119" t="str">
        <f>Teams!C21</f>
        <v>Baylor</v>
      </c>
      <c r="J19" s="120" cm="1">
        <f t="array" ref="J19">_xlfn.XLOOKUP(I19,Teams[[#All],[Team]],Teams[[#All],[Seed]],0,0,1)</f>
        <v>9</v>
      </c>
      <c r="K19" s="83" t="e" vm="89">
        <f>_xlfn.XLOOKUP(G19,Teams!$C:$C,Teams!$E:$E,,0,1)</f>
        <v>#VALUE!</v>
      </c>
      <c r="L19" s="83">
        <f t="shared" ca="1" si="12"/>
        <v>90</v>
      </c>
      <c r="M19" s="83" t="e" vm="90">
        <f>_xlfn.XLOOKUP(I19,Teams!$C:$C,Teams!$E:$E,,0,1)</f>
        <v>#VALUE!</v>
      </c>
      <c r="N19" s="83">
        <f t="shared" ca="1" si="12"/>
        <v>90</v>
      </c>
      <c r="O19" s="192" t="str">
        <f t="shared" ca="1" si="10"/>
        <v>Baylor</v>
      </c>
      <c r="P19" s="207" t="e" vm="90">
        <f ca="1">_xlfn.XLOOKUP(O19,Teams!$C:$C,Teams!$E:$E,,0,1)</f>
        <v>#VALUE!</v>
      </c>
      <c r="Q19" s="228" t="s">
        <v>1202</v>
      </c>
      <c r="R19" s="6" t="b">
        <f t="shared" ca="1" si="13"/>
        <v>1</v>
      </c>
      <c r="S19" s="98"/>
    </row>
    <row r="20" spans="1:19" ht="24" customHeight="1" x14ac:dyDescent="0.25">
      <c r="A20" s="91" t="str">
        <f t="shared" si="11"/>
        <v>Bellarmine</v>
      </c>
      <c r="B20" s="91" t="str">
        <f t="shared" si="7"/>
        <v>Belmont</v>
      </c>
      <c r="C20" s="91" t="str">
        <f t="shared" ca="1" si="8"/>
        <v>Bellarmine</v>
      </c>
      <c r="D20" s="91" t="e">
        <f t="shared" si="9"/>
        <v>#REF!</v>
      </c>
      <c r="E20" s="116">
        <v>11</v>
      </c>
      <c r="F20" s="117" cm="1">
        <f t="array" ref="F20">_xlfn.XLOOKUP(G20,Teams[[#All],[Team]],Teams[[#All],[Seed]],0,0,1)</f>
        <v>5</v>
      </c>
      <c r="G20" s="118" t="str">
        <f>Teams!C22</f>
        <v>Bellarmine</v>
      </c>
      <c r="H20" s="178" t="s">
        <v>9</v>
      </c>
      <c r="I20" s="119" t="str">
        <f>Teams!C23</f>
        <v>Belmont</v>
      </c>
      <c r="J20" s="120" cm="1">
        <f t="array" ref="J20">_xlfn.XLOOKUP(I20,Teams[[#All],[Team]],Teams[[#All],[Seed]],0,0,1)</f>
        <v>12</v>
      </c>
      <c r="K20" s="83" t="e" vm="91">
        <f>_xlfn.XLOOKUP(G20,Teams!$C:$C,Teams!$E:$E,,0,1)</f>
        <v>#VALUE!</v>
      </c>
      <c r="L20" s="83">
        <f t="shared" ca="1" si="12"/>
        <v>113</v>
      </c>
      <c r="M20" s="83" t="e" vm="92">
        <f>_xlfn.XLOOKUP(I20,Teams!$C:$C,Teams!$E:$E,,0,1)</f>
        <v>#VALUE!</v>
      </c>
      <c r="N20" s="83">
        <f t="shared" ca="1" si="12"/>
        <v>119</v>
      </c>
      <c r="O20" s="192" t="str">
        <f t="shared" ca="1" si="10"/>
        <v>Belmont</v>
      </c>
      <c r="P20" s="207" t="e" vm="92">
        <f ca="1">_xlfn.XLOOKUP(O20,Teams!$C:$C,Teams!$E:$E,,0,1)</f>
        <v>#VALUE!</v>
      </c>
      <c r="Q20" s="228" t="s">
        <v>1202</v>
      </c>
      <c r="R20" s="6" t="b">
        <f t="shared" ca="1" si="13"/>
        <v>1</v>
      </c>
      <c r="S20" s="98"/>
    </row>
    <row r="21" spans="1:19" ht="24" customHeight="1" x14ac:dyDescent="0.25">
      <c r="A21" s="91" t="str">
        <f t="shared" si="11"/>
        <v>Bethune-Cookman</v>
      </c>
      <c r="B21" s="91" t="str">
        <f t="shared" si="7"/>
        <v>Binghamton</v>
      </c>
      <c r="C21" s="91" t="str">
        <f t="shared" ca="1" si="8"/>
        <v>Binghamton</v>
      </c>
      <c r="D21" s="91" t="e">
        <f t="shared" si="9"/>
        <v>#REF!</v>
      </c>
      <c r="E21" s="116">
        <v>12</v>
      </c>
      <c r="F21" s="117" cm="1">
        <f t="array" ref="F21">_xlfn.XLOOKUP(G21,Teams[[#All],[Team]],Teams[[#All],[Seed]],0,0,1)</f>
        <v>4</v>
      </c>
      <c r="G21" s="118" t="str">
        <f>Teams!C24</f>
        <v>Bethune-Cookman</v>
      </c>
      <c r="H21" s="178" t="s">
        <v>9</v>
      </c>
      <c r="I21" s="119" t="str">
        <f>Teams!C25</f>
        <v>Binghamton</v>
      </c>
      <c r="J21" s="120" cm="1">
        <f t="array" ref="J21">_xlfn.XLOOKUP(I21,Teams[[#All],[Team]],Teams[[#All],[Seed]],0,0,1)</f>
        <v>13</v>
      </c>
      <c r="K21" s="83" t="e" vm="93">
        <f>_xlfn.XLOOKUP(G21,Teams!$C:$C,Teams!$E:$E,,0,1)</f>
        <v>#VALUE!</v>
      </c>
      <c r="L21" s="83">
        <f t="shared" ca="1" si="12"/>
        <v>106</v>
      </c>
      <c r="M21" s="83" t="e" vm="65">
        <f>_xlfn.XLOOKUP(I21,Teams!$C:$C,Teams!$E:$E,,0,1)</f>
        <v>#VALUE!</v>
      </c>
      <c r="N21" s="83">
        <f t="shared" ca="1" si="12"/>
        <v>90</v>
      </c>
      <c r="O21" s="192" t="str">
        <f t="shared" ca="1" si="10"/>
        <v>Bethune-Cookman</v>
      </c>
      <c r="P21" s="207" t="e" vm="93">
        <f ca="1">_xlfn.XLOOKUP(O21,Teams!$C:$C,Teams!$E:$E,,0,1)</f>
        <v>#VALUE!</v>
      </c>
      <c r="Q21" s="228" t="s">
        <v>1202</v>
      </c>
      <c r="R21" s="6" t="b">
        <f t="shared" ca="1" si="13"/>
        <v>0</v>
      </c>
      <c r="S21" s="98"/>
    </row>
    <row r="22" spans="1:19" ht="24" customHeight="1" x14ac:dyDescent="0.25">
      <c r="A22" s="91" t="str">
        <f t="shared" si="11"/>
        <v>Boise State</v>
      </c>
      <c r="B22" s="91" t="str">
        <f t="shared" si="7"/>
        <v>Boston College</v>
      </c>
      <c r="C22" s="91" t="str">
        <f t="shared" ca="1" si="8"/>
        <v>Boston College</v>
      </c>
      <c r="D22" s="91" t="e">
        <f t="shared" si="9"/>
        <v>#REF!</v>
      </c>
      <c r="E22" s="116">
        <v>13</v>
      </c>
      <c r="F22" s="117" cm="1">
        <f t="array" ref="F22">_xlfn.XLOOKUP(G22,Teams[[#All],[Team]],Teams[[#All],[Seed]],0,0,1)</f>
        <v>6</v>
      </c>
      <c r="G22" s="118" t="str">
        <f>Teams!C26</f>
        <v>Boise State</v>
      </c>
      <c r="H22" s="178" t="s">
        <v>9</v>
      </c>
      <c r="I22" s="119" t="str">
        <f>Teams!C27</f>
        <v>Boston College</v>
      </c>
      <c r="J22" s="120" cm="1">
        <f t="array" ref="J22">_xlfn.XLOOKUP(I22,Teams[[#All],[Team]],Teams[[#All],[Seed]],0,0,1)</f>
        <v>11</v>
      </c>
      <c r="K22" s="83" t="e" vm="66">
        <f>_xlfn.XLOOKUP(G22,Teams!$C:$C,Teams!$E:$E,,0,1)</f>
        <v>#VALUE!</v>
      </c>
      <c r="L22" s="83">
        <f t="shared" ca="1" si="12"/>
        <v>106</v>
      </c>
      <c r="M22" s="83" t="e" vm="67">
        <f>_xlfn.XLOOKUP(I22,Teams!$C:$C,Teams!$E:$E,,0,1)</f>
        <v>#VALUE!</v>
      </c>
      <c r="N22" s="83">
        <f t="shared" ca="1" si="12"/>
        <v>104</v>
      </c>
      <c r="O22" s="192" t="str">
        <f t="shared" ca="1" si="10"/>
        <v>Boise State</v>
      </c>
      <c r="P22" s="207" t="e" vm="66">
        <f ca="1">_xlfn.XLOOKUP(O22,Teams!$C:$C,Teams!$E:$E,,0,1)</f>
        <v>#VALUE!</v>
      </c>
      <c r="Q22" s="228" t="s">
        <v>1202</v>
      </c>
      <c r="R22" s="6" t="b">
        <f t="shared" ca="1" si="13"/>
        <v>0</v>
      </c>
      <c r="S22" s="98"/>
    </row>
    <row r="23" spans="1:19" ht="24" customHeight="1" x14ac:dyDescent="0.25">
      <c r="A23" s="91" t="str">
        <f t="shared" si="11"/>
        <v>Florida</v>
      </c>
      <c r="B23" s="91" t="str">
        <f t="shared" si="7"/>
        <v>Duke</v>
      </c>
      <c r="C23" s="91" t="str">
        <f t="shared" ca="1" si="8"/>
        <v>Florida</v>
      </c>
      <c r="D23" s="91" t="e">
        <f t="shared" si="9"/>
        <v>#REF!</v>
      </c>
      <c r="E23" s="116">
        <v>14</v>
      </c>
      <c r="F23" s="117" cm="1">
        <f t="array" ref="F23">_xlfn.XLOOKUP(G23,Teams[[#All],[Team]],Teams[[#All],[Seed]],0,0,1)</f>
        <v>3</v>
      </c>
      <c r="G23" s="118" t="str">
        <f>Teams!C28</f>
        <v>Florida</v>
      </c>
      <c r="H23" s="178" t="s">
        <v>9</v>
      </c>
      <c r="I23" s="119" t="str">
        <f>Teams!C29</f>
        <v>Duke</v>
      </c>
      <c r="J23" s="120" cm="1">
        <f t="array" ref="J23">_xlfn.XLOOKUP(I23,Teams[[#All],[Team]],Teams[[#All],[Seed]],0,0,1)</f>
        <v>14</v>
      </c>
      <c r="K23" s="83" t="e" vm="68">
        <f>_xlfn.XLOOKUP(G23,Teams!$C:$C,Teams!$E:$E,,0,1)</f>
        <v>#VALUE!</v>
      </c>
      <c r="L23" s="83">
        <f t="shared" ca="1" si="12"/>
        <v>110</v>
      </c>
      <c r="M23" s="83" t="e" vm="69">
        <f>_xlfn.XLOOKUP(I23,Teams!$C:$C,Teams!$E:$E,,0,1)</f>
        <v>#VALUE!</v>
      </c>
      <c r="N23" s="83">
        <f t="shared" ca="1" si="12"/>
        <v>117</v>
      </c>
      <c r="O23" s="192" t="str">
        <f t="shared" ca="1" si="10"/>
        <v>Duke</v>
      </c>
      <c r="P23" s="207" t="e" vm="69">
        <f ca="1">_xlfn.XLOOKUP(O23,Teams!$C:$C,Teams!$E:$E,,0,1)</f>
        <v>#VALUE!</v>
      </c>
      <c r="Q23" s="228" t="s">
        <v>1202</v>
      </c>
      <c r="R23" s="6" t="b">
        <f t="shared" ca="1" si="13"/>
        <v>1</v>
      </c>
      <c r="S23" s="98"/>
    </row>
    <row r="24" spans="1:19" ht="24" customHeight="1" x14ac:dyDescent="0.25">
      <c r="A24" s="91" t="str">
        <f t="shared" si="11"/>
        <v>Bradley</v>
      </c>
      <c r="B24" s="91" t="str">
        <f t="shared" si="7"/>
        <v>Brigham Young</v>
      </c>
      <c r="C24" s="91" t="str">
        <f t="shared" ca="1" si="8"/>
        <v>Bradley</v>
      </c>
      <c r="D24" s="91" t="e">
        <f t="shared" si="9"/>
        <v>#REF!</v>
      </c>
      <c r="E24" s="116">
        <v>15</v>
      </c>
      <c r="F24" s="117" cm="1">
        <f t="array" ref="F24">_xlfn.XLOOKUP(G24,Teams[[#All],[Team]],Teams[[#All],[Seed]],0,0,1)</f>
        <v>7</v>
      </c>
      <c r="G24" s="118" t="str">
        <f>Teams!C30</f>
        <v>Bradley</v>
      </c>
      <c r="H24" s="178" t="s">
        <v>9</v>
      </c>
      <c r="I24" s="119" t="str">
        <f>Teams!C31</f>
        <v>Brigham Young</v>
      </c>
      <c r="J24" s="120" cm="1">
        <f t="array" ref="J24">_xlfn.XLOOKUP(I24,Teams[[#All],[Team]],Teams[[#All],[Seed]],0,0,1)</f>
        <v>10</v>
      </c>
      <c r="K24" s="83" t="e" vm="70">
        <f>_xlfn.XLOOKUP(G24,Teams!$C:$C,Teams!$E:$E,,0,1)</f>
        <v>#VALUE!</v>
      </c>
      <c r="L24" s="83">
        <f t="shared" ca="1" si="12"/>
        <v>99</v>
      </c>
      <c r="M24" s="83" t="e" vm="71">
        <f>_xlfn.XLOOKUP(I24,Teams!$C:$C,Teams!$E:$E,,0,1)</f>
        <v>#VALUE!</v>
      </c>
      <c r="N24" s="83">
        <f t="shared" ca="1" si="12"/>
        <v>110</v>
      </c>
      <c r="O24" s="192" t="str">
        <f t="shared" ca="1" si="10"/>
        <v>Brigham Young</v>
      </c>
      <c r="P24" s="207" t="e" vm="71">
        <f ca="1">_xlfn.XLOOKUP(O24,Teams!$C:$C,Teams!$E:$E,,0,1)</f>
        <v>#VALUE!</v>
      </c>
      <c r="Q24" s="228" t="s">
        <v>1202</v>
      </c>
      <c r="R24" s="6" t="b">
        <f t="shared" ca="1" si="13"/>
        <v>1</v>
      </c>
      <c r="S24" s="98"/>
    </row>
    <row r="25" spans="1:19" ht="24" customHeight="1" thickBot="1" x14ac:dyDescent="0.3">
      <c r="A25" s="91" t="str">
        <f t="shared" si="11"/>
        <v>Brown</v>
      </c>
      <c r="B25" s="91" t="str">
        <f t="shared" si="7"/>
        <v>Bryant</v>
      </c>
      <c r="C25" s="91" t="str">
        <f t="shared" ca="1" si="8"/>
        <v>Brown</v>
      </c>
      <c r="D25" s="91" t="e">
        <f t="shared" si="9"/>
        <v>#REF!</v>
      </c>
      <c r="E25" s="121">
        <v>16</v>
      </c>
      <c r="F25" s="122" cm="1">
        <f t="array" ref="F25">_xlfn.XLOOKUP(G25,Teams[[#All],[Team]],Teams[[#All],[Seed]],0,0,1)</f>
        <v>2</v>
      </c>
      <c r="G25" s="123" t="str">
        <f>Teams!C32</f>
        <v>Brown</v>
      </c>
      <c r="H25" s="179" t="s">
        <v>9</v>
      </c>
      <c r="I25" s="124" t="str">
        <f>Teams!C33</f>
        <v>Bryant</v>
      </c>
      <c r="J25" s="125" cm="1">
        <f t="array" ref="J25">_xlfn.XLOOKUP(I25,Teams[[#All],[Team]],Teams[[#All],[Seed]],0,0,1)</f>
        <v>15</v>
      </c>
      <c r="K25" s="126" t="e" vm="72">
        <f>_xlfn.XLOOKUP(G25,Teams!$C:$C,Teams!$E:$E,,0,1)</f>
        <v>#VALUE!</v>
      </c>
      <c r="L25" s="126">
        <f t="shared" ca="1" si="12"/>
        <v>107</v>
      </c>
      <c r="M25" s="126" t="e" vm="94">
        <f>_xlfn.XLOOKUP(I25,Teams!$C:$C,Teams!$E:$E,,0,1)</f>
        <v>#VALUE!</v>
      </c>
      <c r="N25" s="126">
        <f t="shared" ca="1" si="12"/>
        <v>107</v>
      </c>
      <c r="O25" s="193" t="str">
        <f t="shared" ca="1" si="10"/>
        <v>Bryant</v>
      </c>
      <c r="P25" s="208" t="e" vm="94">
        <f ca="1">_xlfn.XLOOKUP(O25,Teams!$C:$C,Teams!$E:$E,,0,1)</f>
        <v>#VALUE!</v>
      </c>
      <c r="Q25" s="229" t="s">
        <v>1202</v>
      </c>
      <c r="R25" s="6" t="b">
        <f t="shared" ca="1" si="13"/>
        <v>1</v>
      </c>
      <c r="S25" s="98"/>
    </row>
    <row r="26" spans="1:19" ht="24" customHeight="1" x14ac:dyDescent="0.25">
      <c r="A26" s="91" t="str">
        <f t="shared" ref="A26:A41" si="14">G26</f>
        <v>Bucknell</v>
      </c>
      <c r="B26" s="91" t="str">
        <f t="shared" si="7"/>
        <v>Buffalo</v>
      </c>
      <c r="C26" s="91" t="str">
        <f t="shared" ca="1" si="8"/>
        <v>Buffalo</v>
      </c>
      <c r="D26" s="91" t="e">
        <f t="shared" si="9"/>
        <v>#REF!</v>
      </c>
      <c r="E26" s="92">
        <v>17</v>
      </c>
      <c r="F26" s="93" cm="1">
        <f t="array" ref="F26">_xlfn.XLOOKUP(G26,Teams[[#All],[Team]],Teams[[#All],[Seed]],0,0,1)</f>
        <v>1</v>
      </c>
      <c r="G26" s="94" t="str">
        <f>Teams!C34</f>
        <v>Bucknell</v>
      </c>
      <c r="H26" s="175" t="s">
        <v>9</v>
      </c>
      <c r="I26" s="95" t="str">
        <f>Teams!C35</f>
        <v>Buffalo</v>
      </c>
      <c r="J26" s="96" cm="1">
        <f t="array" ref="J26">_xlfn.XLOOKUP(I26,Teams[[#All],[Team]],Teams[[#All],[Seed]],0,0,1)</f>
        <v>16</v>
      </c>
      <c r="K26" s="97" t="e" vm="95">
        <f>_xlfn.XLOOKUP(G26,Teams!$C:$C,Teams!$E:$E,,0,1)</f>
        <v>#VALUE!</v>
      </c>
      <c r="L26" s="97">
        <f t="shared" ca="1" si="12"/>
        <v>118</v>
      </c>
      <c r="M26" s="97" t="e" vm="96">
        <f>_xlfn.XLOOKUP(I26,Teams!$C:$C,Teams!$E:$E,,0,1)</f>
        <v>#VALUE!</v>
      </c>
      <c r="N26" s="97">
        <f t="shared" ca="1" si="12"/>
        <v>98</v>
      </c>
      <c r="O26" s="188" t="str">
        <f t="shared" ca="1" si="10"/>
        <v>Bucknell</v>
      </c>
      <c r="P26" s="203" t="e" vm="95">
        <f ca="1">_xlfn.XLOOKUP(O26,Teams!$C:$C,Teams!$E:$E,,0,1)</f>
        <v>#VALUE!</v>
      </c>
      <c r="Q26" s="230" t="s">
        <v>1202</v>
      </c>
      <c r="R26" s="6" t="b">
        <f t="shared" ca="1" si="13"/>
        <v>0</v>
      </c>
      <c r="S26" s="98"/>
    </row>
    <row r="27" spans="1:19" ht="24" customHeight="1" x14ac:dyDescent="0.25">
      <c r="A27" s="91" t="str">
        <f t="shared" si="14"/>
        <v>Butler</v>
      </c>
      <c r="B27" s="91" t="str">
        <f t="shared" si="7"/>
        <v>Cal Poly</v>
      </c>
      <c r="C27" s="91" t="str">
        <f t="shared" ca="1" si="8"/>
        <v>Cal Poly</v>
      </c>
      <c r="D27" s="91" t="e">
        <f t="shared" si="9"/>
        <v>#REF!</v>
      </c>
      <c r="E27" s="99">
        <v>18</v>
      </c>
      <c r="F27" s="100" cm="1">
        <f t="array" ref="F27">_xlfn.XLOOKUP(G27,Teams[[#All],[Team]],Teams[[#All],[Seed]],0,0,1)</f>
        <v>8</v>
      </c>
      <c r="G27" s="101" t="str">
        <f>Teams!C36</f>
        <v>Butler</v>
      </c>
      <c r="H27" s="176" t="s">
        <v>9</v>
      </c>
      <c r="I27" s="102" t="str">
        <f>Teams!C37</f>
        <v>Cal Poly</v>
      </c>
      <c r="J27" s="103" cm="1">
        <f t="array" ref="J27">_xlfn.XLOOKUP(I27,Teams[[#All],[Team]],Teams[[#All],[Seed]],0,0,1)</f>
        <v>9</v>
      </c>
      <c r="K27" s="82" t="e" vm="97">
        <f>_xlfn.XLOOKUP(G27,Teams!$C:$C,Teams!$E:$E,,0,1)</f>
        <v>#VALUE!</v>
      </c>
      <c r="L27" s="82">
        <f t="shared" ca="1" si="12"/>
        <v>109</v>
      </c>
      <c r="M27" s="82" t="e" vm="98">
        <f>_xlfn.XLOOKUP(I27,Teams!$C:$C,Teams!$E:$E,,0,1)</f>
        <v>#VALUE!</v>
      </c>
      <c r="N27" s="82">
        <f t="shared" ca="1" si="12"/>
        <v>92</v>
      </c>
      <c r="O27" s="189" t="str">
        <f t="shared" ca="1" si="10"/>
        <v>Butler</v>
      </c>
      <c r="P27" s="204" t="e" vm="97">
        <f ca="1">_xlfn.XLOOKUP(O27,Teams!$C:$C,Teams!$E:$E,,0,1)</f>
        <v>#VALUE!</v>
      </c>
      <c r="Q27" s="225" t="s">
        <v>1202</v>
      </c>
      <c r="R27" s="6" t="b">
        <f t="shared" ca="1" si="13"/>
        <v>0</v>
      </c>
      <c r="S27" s="98"/>
    </row>
    <row r="28" spans="1:19" ht="24" customHeight="1" x14ac:dyDescent="0.25">
      <c r="A28" s="91" t="str">
        <f t="shared" si="14"/>
        <v>Cal State Bakersfield</v>
      </c>
      <c r="B28" s="91" t="str">
        <f t="shared" si="7"/>
        <v>Cal State Fullerton</v>
      </c>
      <c r="C28" s="91" t="str">
        <f t="shared" ca="1" si="8"/>
        <v>Cal State Bakersfield</v>
      </c>
      <c r="D28" s="91" t="e">
        <f t="shared" si="9"/>
        <v>#REF!</v>
      </c>
      <c r="E28" s="99">
        <v>19</v>
      </c>
      <c r="F28" s="100" cm="1">
        <f t="array" ref="F28">_xlfn.XLOOKUP(G28,Teams[[#All],[Team]],Teams[[#All],[Seed]],0,0,1)</f>
        <v>5</v>
      </c>
      <c r="G28" s="101" t="str">
        <f>Teams!C38</f>
        <v>Cal State Bakersfield</v>
      </c>
      <c r="H28" s="176" t="s">
        <v>9</v>
      </c>
      <c r="I28" s="102" t="str">
        <f>Teams!C39</f>
        <v>Cal State Fullerton</v>
      </c>
      <c r="J28" s="103" cm="1">
        <f t="array" ref="J28">_xlfn.XLOOKUP(I28,Teams[[#All],[Team]],Teams[[#All],[Seed]],0,0,1)</f>
        <v>12</v>
      </c>
      <c r="K28" s="82" t="e" vm="99">
        <f>_xlfn.XLOOKUP(G28,Teams!$C:$C,Teams!$E:$E,,0,1)</f>
        <v>#VALUE!</v>
      </c>
      <c r="L28" s="82">
        <f t="shared" ca="1" si="12"/>
        <v>91</v>
      </c>
      <c r="M28" s="82" t="e" vm="100">
        <f>_xlfn.XLOOKUP(I28,Teams!$C:$C,Teams!$E:$E,,0,1)</f>
        <v>#VALUE!</v>
      </c>
      <c r="N28" s="82">
        <f t="shared" ca="1" si="12"/>
        <v>100</v>
      </c>
      <c r="O28" s="189" t="str">
        <f t="shared" ca="1" si="10"/>
        <v>Cal State Fullerton</v>
      </c>
      <c r="P28" s="204" t="e" vm="100">
        <f ca="1">_xlfn.XLOOKUP(O28,Teams!$C:$C,Teams!$E:$E,,0,1)</f>
        <v>#VALUE!</v>
      </c>
      <c r="Q28" s="225" t="s">
        <v>1202</v>
      </c>
      <c r="R28" s="6" t="b">
        <f t="shared" ca="1" si="13"/>
        <v>1</v>
      </c>
      <c r="S28" s="98"/>
    </row>
    <row r="29" spans="1:19" ht="24" customHeight="1" x14ac:dyDescent="0.25">
      <c r="A29" s="91" t="str">
        <f t="shared" si="14"/>
        <v>Cal State Northridge</v>
      </c>
      <c r="B29" s="91" t="str">
        <f t="shared" si="7"/>
        <v>California</v>
      </c>
      <c r="C29" s="91" t="str">
        <f t="shared" ca="1" si="8"/>
        <v>California</v>
      </c>
      <c r="D29" s="91" t="e">
        <f t="shared" si="9"/>
        <v>#REF!</v>
      </c>
      <c r="E29" s="99">
        <v>20</v>
      </c>
      <c r="F29" s="100" cm="1">
        <f t="array" ref="F29">_xlfn.XLOOKUP(G29,Teams[[#All],[Team]],Teams[[#All],[Seed]],0,0,1)</f>
        <v>4</v>
      </c>
      <c r="G29" s="101" t="str">
        <f>Teams!C40</f>
        <v>Cal State Northridge</v>
      </c>
      <c r="H29" s="176" t="s">
        <v>9</v>
      </c>
      <c r="I29" s="102" t="str">
        <f>Teams!C41</f>
        <v>California</v>
      </c>
      <c r="J29" s="103" cm="1">
        <f t="array" ref="J29">_xlfn.XLOOKUP(I29,Teams[[#All],[Team]],Teams[[#All],[Seed]],0,0,1)</f>
        <v>13</v>
      </c>
      <c r="K29" s="82" t="e" vm="101">
        <f>_xlfn.XLOOKUP(G29,Teams!$C:$C,Teams!$E:$E,,0,1)</f>
        <v>#VALUE!</v>
      </c>
      <c r="L29" s="82">
        <f t="shared" ca="1" si="12"/>
        <v>116</v>
      </c>
      <c r="M29" s="82" t="e" vm="102">
        <f>_xlfn.XLOOKUP(I29,Teams!$C:$C,Teams!$E:$E,,0,1)</f>
        <v>#VALUE!</v>
      </c>
      <c r="N29" s="82">
        <f t="shared" ca="1" si="12"/>
        <v>115</v>
      </c>
      <c r="O29" s="189" t="str">
        <f t="shared" ca="1" si="10"/>
        <v>Cal State Northridge</v>
      </c>
      <c r="P29" s="204" t="e" vm="101">
        <f ca="1">_xlfn.XLOOKUP(O29,Teams!$C:$C,Teams!$E:$E,,0,1)</f>
        <v>#VALUE!</v>
      </c>
      <c r="Q29" s="225" t="s">
        <v>1202</v>
      </c>
      <c r="R29" s="6" t="b">
        <f t="shared" ca="1" si="13"/>
        <v>0</v>
      </c>
      <c r="S29" s="98"/>
    </row>
    <row r="30" spans="1:19" ht="24" customHeight="1" x14ac:dyDescent="0.25">
      <c r="A30" s="91" t="str">
        <f t="shared" si="14"/>
        <v>California Baptist</v>
      </c>
      <c r="B30" s="91" t="str">
        <f t="shared" si="7"/>
        <v>Campbell</v>
      </c>
      <c r="C30" s="91" t="str">
        <f t="shared" ca="1" si="8"/>
        <v>Campbell</v>
      </c>
      <c r="D30" s="91" t="e">
        <f t="shared" si="9"/>
        <v>#REF!</v>
      </c>
      <c r="E30" s="99">
        <v>21</v>
      </c>
      <c r="F30" s="100" cm="1">
        <f t="array" ref="F30">_xlfn.XLOOKUP(G30,Teams[[#All],[Team]],Teams[[#All],[Seed]],0,0,1)</f>
        <v>6</v>
      </c>
      <c r="G30" s="101" t="str">
        <f>Teams!C42</f>
        <v>California Baptist</v>
      </c>
      <c r="H30" s="176" t="s">
        <v>9</v>
      </c>
      <c r="I30" s="102" t="str">
        <f>Teams!C43</f>
        <v>Campbell</v>
      </c>
      <c r="J30" s="103" cm="1">
        <f t="array" ref="J30">_xlfn.XLOOKUP(I30,Teams[[#All],[Team]],Teams[[#All],[Seed]],0,0,1)</f>
        <v>11</v>
      </c>
      <c r="K30" s="82" t="e" vm="103">
        <f>_xlfn.XLOOKUP(G30,Teams!$C:$C,Teams!$E:$E,,0,1)</f>
        <v>#VALUE!</v>
      </c>
      <c r="L30" s="82">
        <f t="shared" ca="1" si="12"/>
        <v>108</v>
      </c>
      <c r="M30" s="82" t="e" vm="104">
        <f>_xlfn.XLOOKUP(I30,Teams!$C:$C,Teams!$E:$E,,0,1)</f>
        <v>#VALUE!</v>
      </c>
      <c r="N30" s="82">
        <f t="shared" ca="1" si="12"/>
        <v>94</v>
      </c>
      <c r="O30" s="189" t="str">
        <f t="shared" ca="1" si="10"/>
        <v>California Baptist</v>
      </c>
      <c r="P30" s="204" t="e" vm="103">
        <f ca="1">_xlfn.XLOOKUP(O30,Teams!$C:$C,Teams!$E:$E,,0,1)</f>
        <v>#VALUE!</v>
      </c>
      <c r="Q30" s="225" t="s">
        <v>1202</v>
      </c>
      <c r="R30" s="6" t="b">
        <f t="shared" ca="1" si="13"/>
        <v>0</v>
      </c>
      <c r="S30" s="98"/>
    </row>
    <row r="31" spans="1:19" ht="24" customHeight="1" x14ac:dyDescent="0.25">
      <c r="A31" s="91" t="str">
        <f t="shared" si="14"/>
        <v>Canisius</v>
      </c>
      <c r="B31" s="91" t="str">
        <f t="shared" si="7"/>
        <v>Central Arkansas</v>
      </c>
      <c r="C31" s="91" t="str">
        <f t="shared" ca="1" si="8"/>
        <v>Canisius</v>
      </c>
      <c r="D31" s="91" t="e">
        <f t="shared" si="9"/>
        <v>#REF!</v>
      </c>
      <c r="E31" s="99">
        <v>22</v>
      </c>
      <c r="F31" s="100" cm="1">
        <f t="array" ref="F31">_xlfn.XLOOKUP(G31,Teams[[#All],[Team]],Teams[[#All],[Seed]],0,0,1)</f>
        <v>3</v>
      </c>
      <c r="G31" s="101" t="str">
        <f>Teams!C44</f>
        <v>Canisius</v>
      </c>
      <c r="H31" s="176" t="s">
        <v>9</v>
      </c>
      <c r="I31" s="102" t="str">
        <f>Teams!C45</f>
        <v>Central Arkansas</v>
      </c>
      <c r="J31" s="103" cm="1">
        <f t="array" ref="J31">_xlfn.XLOOKUP(I31,Teams[[#All],[Team]],Teams[[#All],[Seed]],0,0,1)</f>
        <v>14</v>
      </c>
      <c r="K31" s="82" t="e" vm="105">
        <f>_xlfn.XLOOKUP(G31,Teams!$C:$C,Teams!$E:$E,,0,1)</f>
        <v>#VALUE!</v>
      </c>
      <c r="L31" s="82">
        <f t="shared" ca="1" si="12"/>
        <v>104</v>
      </c>
      <c r="M31" s="82" t="e" vm="106">
        <f>_xlfn.XLOOKUP(I31,Teams!$C:$C,Teams!$E:$E,,0,1)</f>
        <v>#VALUE!</v>
      </c>
      <c r="N31" s="82">
        <f t="shared" ca="1" si="12"/>
        <v>116</v>
      </c>
      <c r="O31" s="189" t="str">
        <f t="shared" ca="1" si="10"/>
        <v>Central Arkansas</v>
      </c>
      <c r="P31" s="204" t="e" vm="106">
        <f ca="1">_xlfn.XLOOKUP(O31,Teams!$C:$C,Teams!$E:$E,,0,1)</f>
        <v>#VALUE!</v>
      </c>
      <c r="Q31" s="225" t="s">
        <v>1202</v>
      </c>
      <c r="R31" s="6" t="b">
        <f t="shared" ca="1" si="13"/>
        <v>1</v>
      </c>
      <c r="S31" s="98"/>
    </row>
    <row r="32" spans="1:19" ht="24" customHeight="1" x14ac:dyDescent="0.25">
      <c r="A32" s="91" t="str">
        <f t="shared" si="14"/>
        <v>Central Connecticut State</v>
      </c>
      <c r="B32" s="91" t="str">
        <f t="shared" si="7"/>
        <v>Central Michigan</v>
      </c>
      <c r="C32" s="91" t="str">
        <f t="shared" ca="1" si="8"/>
        <v>Central Connecticut State</v>
      </c>
      <c r="D32" s="91" t="e">
        <f t="shared" si="9"/>
        <v>#REF!</v>
      </c>
      <c r="E32" s="99">
        <v>23</v>
      </c>
      <c r="F32" s="100" cm="1">
        <f t="array" ref="F32">_xlfn.XLOOKUP(G32,Teams[[#All],[Team]],Teams[[#All],[Seed]],0,0,1)</f>
        <v>7</v>
      </c>
      <c r="G32" s="101" t="str">
        <f>Teams!C46</f>
        <v>Central Connecticut State</v>
      </c>
      <c r="H32" s="176" t="s">
        <v>9</v>
      </c>
      <c r="I32" s="102" t="str">
        <f>Teams!C47</f>
        <v>Central Michigan</v>
      </c>
      <c r="J32" s="103" cm="1">
        <f t="array" ref="J32">_xlfn.XLOOKUP(I32,Teams[[#All],[Team]],Teams[[#All],[Seed]],0,0,1)</f>
        <v>10</v>
      </c>
      <c r="K32" s="82" t="e" vm="107">
        <f>_xlfn.XLOOKUP(G32,Teams!$C:$C,Teams!$E:$E,,0,1)</f>
        <v>#VALUE!</v>
      </c>
      <c r="L32" s="82">
        <f t="shared" ca="1" si="12"/>
        <v>91</v>
      </c>
      <c r="M32" s="82" t="e" vm="108">
        <f>_xlfn.XLOOKUP(I32,Teams!$C:$C,Teams!$E:$E,,0,1)</f>
        <v>#VALUE!</v>
      </c>
      <c r="N32" s="82">
        <f t="shared" ca="1" si="12"/>
        <v>99</v>
      </c>
      <c r="O32" s="189" t="str">
        <f t="shared" ca="1" si="10"/>
        <v>Central Michigan</v>
      </c>
      <c r="P32" s="204" t="e" vm="108">
        <f ca="1">_xlfn.XLOOKUP(O32,Teams!$C:$C,Teams!$E:$E,,0,1)</f>
        <v>#VALUE!</v>
      </c>
      <c r="Q32" s="225" t="s">
        <v>1202</v>
      </c>
      <c r="R32" s="6" t="b">
        <f t="shared" ca="1" si="13"/>
        <v>1</v>
      </c>
      <c r="S32" s="98"/>
    </row>
    <row r="33" spans="1:19" ht="24" customHeight="1" thickBot="1" x14ac:dyDescent="0.3">
      <c r="A33" s="91" t="str">
        <f t="shared" si="14"/>
        <v>Charleston Southern</v>
      </c>
      <c r="B33" s="91" t="str">
        <f t="shared" si="7"/>
        <v>Charlotte</v>
      </c>
      <c r="C33" s="91" t="str">
        <f t="shared" ca="1" si="8"/>
        <v>Charleston Southern</v>
      </c>
      <c r="D33" s="91" t="e">
        <f t="shared" si="9"/>
        <v>#REF!</v>
      </c>
      <c r="E33" s="104">
        <v>24</v>
      </c>
      <c r="F33" s="105" cm="1">
        <f t="array" ref="F33">_xlfn.XLOOKUP(G33,Teams[[#All],[Team]],Teams[[#All],[Seed]],0,0,1)</f>
        <v>2</v>
      </c>
      <c r="G33" s="106" t="str">
        <f>Teams!C48</f>
        <v>Charleston Southern</v>
      </c>
      <c r="H33" s="177" t="s">
        <v>9</v>
      </c>
      <c r="I33" s="107" t="str">
        <f>Teams!C49</f>
        <v>Charlotte</v>
      </c>
      <c r="J33" s="108" cm="1">
        <f t="array" ref="J33">_xlfn.XLOOKUP(I33,Teams[[#All],[Team]],Teams[[#All],[Seed]],0,0,1)</f>
        <v>15</v>
      </c>
      <c r="K33" s="109" t="e" vm="109">
        <f>_xlfn.XLOOKUP(G33,Teams!$C:$C,Teams!$E:$E,,0,1)</f>
        <v>#VALUE!</v>
      </c>
      <c r="L33" s="109">
        <f t="shared" ca="1" si="12"/>
        <v>92</v>
      </c>
      <c r="M33" s="109" t="e" vm="110">
        <f>_xlfn.XLOOKUP(I33,Teams!$C:$C,Teams!$E:$E,,0,1)</f>
        <v>#VALUE!</v>
      </c>
      <c r="N33" s="109">
        <f t="shared" ca="1" si="12"/>
        <v>101</v>
      </c>
      <c r="O33" s="190" t="str">
        <f t="shared" ca="1" si="10"/>
        <v>Charlotte</v>
      </c>
      <c r="P33" s="205" t="e" vm="110">
        <f ca="1">_xlfn.XLOOKUP(O33,Teams!$C:$C,Teams!$E:$E,,0,1)</f>
        <v>#VALUE!</v>
      </c>
      <c r="Q33" s="226" t="s">
        <v>1202</v>
      </c>
      <c r="R33" s="6" t="b">
        <f t="shared" ca="1" si="13"/>
        <v>1</v>
      </c>
      <c r="S33" s="98"/>
    </row>
    <row r="34" spans="1:19" ht="24" customHeight="1" x14ac:dyDescent="0.25">
      <c r="A34" s="91" t="str">
        <f t="shared" si="14"/>
        <v>Chattanooga</v>
      </c>
      <c r="B34" s="91" t="str">
        <f t="shared" si="7"/>
        <v>Chicago State</v>
      </c>
      <c r="C34" s="91" t="str">
        <f t="shared" ca="1" si="8"/>
        <v>Chattanooga</v>
      </c>
      <c r="D34" s="91" t="e">
        <f t="shared" si="9"/>
        <v>#REF!</v>
      </c>
      <c r="E34" s="110">
        <v>25</v>
      </c>
      <c r="F34" s="111" cm="1">
        <f t="array" ref="F34">_xlfn.XLOOKUP(G34,Teams[[#All],[Team]],Teams[[#All],[Seed]],0,0,1)</f>
        <v>1</v>
      </c>
      <c r="G34" s="127" t="str">
        <f>Teams!C50</f>
        <v>Chattanooga</v>
      </c>
      <c r="H34" s="180" t="s">
        <v>9</v>
      </c>
      <c r="I34" s="128" t="str">
        <f>Teams!C51</f>
        <v>Chicago State</v>
      </c>
      <c r="J34" s="114" cm="1">
        <f t="array" ref="J34">_xlfn.XLOOKUP(I34,Teams[[#All],[Team]],Teams[[#All],[Seed]],0,0,1)</f>
        <v>16</v>
      </c>
      <c r="K34" s="115" t="e" vm="111">
        <f>_xlfn.XLOOKUP(G34,Teams!$C:$C,Teams!$E:$E,,0,1)</f>
        <v>#VALUE!</v>
      </c>
      <c r="L34" s="115">
        <f t="shared" ca="1" si="12"/>
        <v>93</v>
      </c>
      <c r="M34" s="115" t="e" vm="112">
        <f>_xlfn.XLOOKUP(I34,Teams!$C:$C,Teams!$E:$E,,0,1)</f>
        <v>#VALUE!</v>
      </c>
      <c r="N34" s="115">
        <f t="shared" ca="1" si="12"/>
        <v>118</v>
      </c>
      <c r="O34" s="191" t="str">
        <f t="shared" ca="1" si="10"/>
        <v>Chicago State</v>
      </c>
      <c r="P34" s="206" t="e" vm="112">
        <f ca="1">_xlfn.XLOOKUP(O34,Teams!$C:$C,Teams!$E:$E,,0,1)</f>
        <v>#VALUE!</v>
      </c>
      <c r="Q34" s="227" t="s">
        <v>1202</v>
      </c>
      <c r="R34" s="6" t="b">
        <f t="shared" ca="1" si="13"/>
        <v>1</v>
      </c>
      <c r="S34" s="98"/>
    </row>
    <row r="35" spans="1:19" ht="24" customHeight="1" x14ac:dyDescent="0.25">
      <c r="A35" s="91" t="str">
        <f t="shared" si="14"/>
        <v>Cincinnati</v>
      </c>
      <c r="B35" s="91" t="str">
        <f t="shared" si="7"/>
        <v>Clemson</v>
      </c>
      <c r="C35" s="91" t="str">
        <f t="shared" ca="1" si="8"/>
        <v>Cincinnati</v>
      </c>
      <c r="D35" s="91" t="e">
        <f t="shared" si="9"/>
        <v>#REF!</v>
      </c>
      <c r="E35" s="116">
        <v>26</v>
      </c>
      <c r="F35" s="117" cm="1">
        <f t="array" ref="F35">_xlfn.XLOOKUP(G35,Teams[[#All],[Team]],Teams[[#All],[Seed]],0,0,1)</f>
        <v>8</v>
      </c>
      <c r="G35" s="118" t="str">
        <f>Teams!C52</f>
        <v>Cincinnati</v>
      </c>
      <c r="H35" s="178" t="s">
        <v>9</v>
      </c>
      <c r="I35" s="119" t="str">
        <f>Teams!C53</f>
        <v>Clemson</v>
      </c>
      <c r="J35" s="120" cm="1">
        <f t="array" ref="J35">_xlfn.XLOOKUP(I35,Teams[[#All],[Team]],Teams[[#All],[Seed]],0,0,1)</f>
        <v>9</v>
      </c>
      <c r="K35" s="83" t="e" vm="113">
        <f>_xlfn.XLOOKUP(G35,Teams!$C:$C,Teams!$E:$E,,0,1)</f>
        <v>#VALUE!</v>
      </c>
      <c r="L35" s="83">
        <f t="shared" ca="1" si="12"/>
        <v>100</v>
      </c>
      <c r="M35" s="83" t="e" vm="114">
        <f>_xlfn.XLOOKUP(I35,Teams!$C:$C,Teams!$E:$E,,0,1)</f>
        <v>#VALUE!</v>
      </c>
      <c r="N35" s="83">
        <f t="shared" ca="1" si="12"/>
        <v>114</v>
      </c>
      <c r="O35" s="192" t="str">
        <f t="shared" ca="1" si="10"/>
        <v>Clemson</v>
      </c>
      <c r="P35" s="207" t="e" vm="114">
        <f ca="1">_xlfn.XLOOKUP(O35,Teams!$C:$C,Teams!$E:$E,,0,1)</f>
        <v>#VALUE!</v>
      </c>
      <c r="Q35" s="228" t="s">
        <v>1202</v>
      </c>
      <c r="R35" s="6" t="b">
        <f t="shared" ca="1" si="13"/>
        <v>1</v>
      </c>
      <c r="S35" s="98"/>
    </row>
    <row r="36" spans="1:19" ht="24" customHeight="1" x14ac:dyDescent="0.25">
      <c r="A36" s="91" t="str">
        <f t="shared" si="14"/>
        <v>Cleveland State</v>
      </c>
      <c r="B36" s="91" t="str">
        <f t="shared" si="7"/>
        <v>Coastal Carolina</v>
      </c>
      <c r="C36" s="91" t="str">
        <f t="shared" ca="1" si="8"/>
        <v>Coastal Carolina</v>
      </c>
      <c r="D36" s="91" t="e">
        <f t="shared" si="9"/>
        <v>#REF!</v>
      </c>
      <c r="E36" s="116">
        <v>27</v>
      </c>
      <c r="F36" s="117" cm="1">
        <f t="array" ref="F36">_xlfn.XLOOKUP(G36,Teams[[#All],[Team]],Teams[[#All],[Seed]],0,0,1)</f>
        <v>5</v>
      </c>
      <c r="G36" s="118" t="str">
        <f>Teams!C54</f>
        <v>Cleveland State</v>
      </c>
      <c r="H36" s="178" t="s">
        <v>9</v>
      </c>
      <c r="I36" s="119" t="str">
        <f>Teams!C55</f>
        <v>Coastal Carolina</v>
      </c>
      <c r="J36" s="120" cm="1">
        <f t="array" ref="J36">_xlfn.XLOOKUP(I36,Teams[[#All],[Team]],Teams[[#All],[Seed]],0,0,1)</f>
        <v>12</v>
      </c>
      <c r="K36" s="83" t="e" vm="115">
        <f>_xlfn.XLOOKUP(G36,Teams!$C:$C,Teams!$E:$E,,0,1)</f>
        <v>#VALUE!</v>
      </c>
      <c r="L36" s="83">
        <f t="shared" ca="1" si="12"/>
        <v>119</v>
      </c>
      <c r="M36" s="83" t="e" vm="116">
        <f>_xlfn.XLOOKUP(I36,Teams!$C:$C,Teams!$E:$E,,0,1)</f>
        <v>#VALUE!</v>
      </c>
      <c r="N36" s="83">
        <f t="shared" ca="1" si="12"/>
        <v>96</v>
      </c>
      <c r="O36" s="192" t="str">
        <f t="shared" ca="1" si="10"/>
        <v>Cleveland State</v>
      </c>
      <c r="P36" s="207" t="e" vm="115">
        <f ca="1">_xlfn.XLOOKUP(O36,Teams!$C:$C,Teams!$E:$E,,0,1)</f>
        <v>#VALUE!</v>
      </c>
      <c r="Q36" s="228" t="s">
        <v>1202</v>
      </c>
      <c r="R36" s="6" t="b">
        <f t="shared" ca="1" si="13"/>
        <v>0</v>
      </c>
      <c r="S36" s="98"/>
    </row>
    <row r="37" spans="1:19" ht="24" customHeight="1" x14ac:dyDescent="0.25">
      <c r="A37" s="91" t="str">
        <f t="shared" si="14"/>
        <v>Colgate</v>
      </c>
      <c r="B37" s="91" t="str">
        <f t="shared" si="7"/>
        <v>College of Charleston</v>
      </c>
      <c r="C37" s="91" t="str">
        <f t="shared" ca="1" si="8"/>
        <v>Colgate</v>
      </c>
      <c r="D37" s="91" t="e">
        <f t="shared" si="9"/>
        <v>#REF!</v>
      </c>
      <c r="E37" s="116">
        <v>28</v>
      </c>
      <c r="F37" s="117" cm="1">
        <f t="array" ref="F37">_xlfn.XLOOKUP(G37,Teams[[#All],[Team]],Teams[[#All],[Seed]],0,0,1)</f>
        <v>4</v>
      </c>
      <c r="G37" s="118" t="str">
        <f>Teams!C56</f>
        <v>Colgate</v>
      </c>
      <c r="H37" s="178" t="s">
        <v>9</v>
      </c>
      <c r="I37" s="119" t="str">
        <f>Teams!C57</f>
        <v>College of Charleston</v>
      </c>
      <c r="J37" s="120" cm="1">
        <f t="array" ref="J37">_xlfn.XLOOKUP(I37,Teams[[#All],[Team]],Teams[[#All],[Seed]],0,0,1)</f>
        <v>13</v>
      </c>
      <c r="K37" s="83" t="e" vm="117">
        <f>_xlfn.XLOOKUP(G37,Teams!$C:$C,Teams!$E:$E,,0,1)</f>
        <v>#VALUE!</v>
      </c>
      <c r="L37" s="83">
        <f t="shared" ca="1" si="12"/>
        <v>103</v>
      </c>
      <c r="M37" s="83" t="e" vm="118">
        <f>_xlfn.XLOOKUP(I37,Teams!$C:$C,Teams!$E:$E,,0,1)</f>
        <v>#VALUE!</v>
      </c>
      <c r="N37" s="83">
        <f t="shared" ca="1" si="12"/>
        <v>108</v>
      </c>
      <c r="O37" s="192" t="str">
        <f t="shared" ca="1" si="10"/>
        <v>College of Charleston</v>
      </c>
      <c r="P37" s="207" t="e" vm="118">
        <f ca="1">_xlfn.XLOOKUP(O37,Teams!$C:$C,Teams!$E:$E,,0,1)</f>
        <v>#VALUE!</v>
      </c>
      <c r="Q37" s="228" t="s">
        <v>1202</v>
      </c>
      <c r="R37" s="6" t="b">
        <f t="shared" ca="1" si="13"/>
        <v>1</v>
      </c>
      <c r="S37" s="98"/>
    </row>
    <row r="38" spans="1:19" ht="24" customHeight="1" x14ac:dyDescent="0.25">
      <c r="A38" s="91" t="str">
        <f t="shared" si="14"/>
        <v>Colorado</v>
      </c>
      <c r="B38" s="91" t="str">
        <f t="shared" si="7"/>
        <v>Colorado State</v>
      </c>
      <c r="C38" s="91" t="str">
        <f t="shared" ca="1" si="8"/>
        <v>Colorado</v>
      </c>
      <c r="D38" s="91" t="e">
        <f t="shared" si="9"/>
        <v>#REF!</v>
      </c>
      <c r="E38" s="116">
        <v>29</v>
      </c>
      <c r="F38" s="117" cm="1">
        <f t="array" ref="F38">_xlfn.XLOOKUP(G38,Teams[[#All],[Team]],Teams[[#All],[Seed]],0,0,1)</f>
        <v>6</v>
      </c>
      <c r="G38" s="118" t="str">
        <f>Teams!C58</f>
        <v>Colorado</v>
      </c>
      <c r="H38" s="178" t="s">
        <v>9</v>
      </c>
      <c r="I38" s="119" t="str">
        <f>Teams!C59</f>
        <v>Colorado State</v>
      </c>
      <c r="J38" s="120" cm="1">
        <f t="array" ref="J38">_xlfn.XLOOKUP(I38,Teams[[#All],[Team]],Teams[[#All],[Seed]],0,0,1)</f>
        <v>11</v>
      </c>
      <c r="K38" s="83" t="e" vm="119">
        <f>_xlfn.XLOOKUP(G38,Teams!$C:$C,Teams!$E:$E,,0,1)</f>
        <v>#VALUE!</v>
      </c>
      <c r="L38" s="83">
        <f t="shared" ca="1" si="12"/>
        <v>108</v>
      </c>
      <c r="M38" s="83" t="e" vm="120">
        <f>_xlfn.XLOOKUP(I38,Teams!$C:$C,Teams!$E:$E,,0,1)</f>
        <v>#VALUE!</v>
      </c>
      <c r="N38" s="83">
        <f t="shared" ca="1" si="12"/>
        <v>114</v>
      </c>
      <c r="O38" s="192" t="str">
        <f t="shared" ca="1" si="10"/>
        <v>Colorado State</v>
      </c>
      <c r="P38" s="207" t="e" vm="120">
        <f ca="1">_xlfn.XLOOKUP(O38,Teams!$C:$C,Teams!$E:$E,,0,1)</f>
        <v>#VALUE!</v>
      </c>
      <c r="Q38" s="228" t="s">
        <v>1202</v>
      </c>
      <c r="R38" s="6" t="b">
        <f t="shared" ca="1" si="13"/>
        <v>1</v>
      </c>
      <c r="S38" s="98"/>
    </row>
    <row r="39" spans="1:19" ht="24" customHeight="1" x14ac:dyDescent="0.25">
      <c r="A39" s="91" t="str">
        <f t="shared" si="14"/>
        <v>Columbia</v>
      </c>
      <c r="B39" s="91" t="str">
        <f t="shared" si="7"/>
        <v>Connecticut</v>
      </c>
      <c r="C39" s="91" t="str">
        <f t="shared" ca="1" si="8"/>
        <v>Columbia</v>
      </c>
      <c r="D39" s="91" t="e">
        <f t="shared" si="9"/>
        <v>#REF!</v>
      </c>
      <c r="E39" s="116">
        <v>30</v>
      </c>
      <c r="F39" s="117" cm="1">
        <f t="array" ref="F39">_xlfn.XLOOKUP(G39,Teams[[#All],[Team]],Teams[[#All],[Seed]],0,0,1)</f>
        <v>3</v>
      </c>
      <c r="G39" s="118" t="str">
        <f>Teams!C60</f>
        <v>Columbia</v>
      </c>
      <c r="H39" s="178" t="s">
        <v>9</v>
      </c>
      <c r="I39" s="119" t="str">
        <f>Teams!C61</f>
        <v>Connecticut</v>
      </c>
      <c r="J39" s="120" cm="1">
        <f t="array" ref="J39">_xlfn.XLOOKUP(I39,Teams[[#All],[Team]],Teams[[#All],[Seed]],0,0,1)</f>
        <v>14</v>
      </c>
      <c r="K39" s="83" t="e" vm="121">
        <f>_xlfn.XLOOKUP(G39,Teams!$C:$C,Teams!$E:$E,,0,1)</f>
        <v>#VALUE!</v>
      </c>
      <c r="L39" s="83">
        <f t="shared" ca="1" si="12"/>
        <v>108</v>
      </c>
      <c r="M39" s="83" t="e" vm="122">
        <f>_xlfn.XLOOKUP(I39,Teams!$C:$C,Teams!$E:$E,,0,1)</f>
        <v>#VALUE!</v>
      </c>
      <c r="N39" s="83">
        <f t="shared" ca="1" si="12"/>
        <v>119</v>
      </c>
      <c r="O39" s="192" t="str">
        <f t="shared" ca="1" si="10"/>
        <v>Connecticut</v>
      </c>
      <c r="P39" s="207" t="e" vm="122">
        <f ca="1">_xlfn.XLOOKUP(O39,Teams!$C:$C,Teams!$E:$E,,0,1)</f>
        <v>#VALUE!</v>
      </c>
      <c r="Q39" s="228" t="s">
        <v>1202</v>
      </c>
      <c r="R39" s="6" t="b">
        <f t="shared" ca="1" si="13"/>
        <v>1</v>
      </c>
      <c r="S39" s="98"/>
    </row>
    <row r="40" spans="1:19" ht="24" customHeight="1" x14ac:dyDescent="0.25">
      <c r="A40" s="91" t="str">
        <f t="shared" si="14"/>
        <v>Coppin State</v>
      </c>
      <c r="B40" s="91" t="str">
        <f t="shared" si="7"/>
        <v>Cornell</v>
      </c>
      <c r="C40" s="91" t="str">
        <f t="shared" ca="1" si="8"/>
        <v>Cornell</v>
      </c>
      <c r="D40" s="91" t="e">
        <f t="shared" si="9"/>
        <v>#REF!</v>
      </c>
      <c r="E40" s="116">
        <v>31</v>
      </c>
      <c r="F40" s="117" cm="1">
        <f t="array" ref="F40">_xlfn.XLOOKUP(G40,Teams[[#All],[Team]],Teams[[#All],[Seed]],0,0,1)</f>
        <v>7</v>
      </c>
      <c r="G40" s="118" t="str">
        <f>Teams!C62</f>
        <v>Coppin State</v>
      </c>
      <c r="H40" s="178" t="s">
        <v>9</v>
      </c>
      <c r="I40" s="119" t="str">
        <f>Teams!C63</f>
        <v>Cornell</v>
      </c>
      <c r="J40" s="120" cm="1">
        <f t="array" ref="J40">_xlfn.XLOOKUP(I40,Teams[[#All],[Team]],Teams[[#All],[Seed]],0,0,1)</f>
        <v>10</v>
      </c>
      <c r="K40" s="83" t="e" vm="123">
        <f>_xlfn.XLOOKUP(G40,Teams!$C:$C,Teams!$E:$E,,0,1)</f>
        <v>#VALUE!</v>
      </c>
      <c r="L40" s="83">
        <f t="shared" ca="1" si="12"/>
        <v>111</v>
      </c>
      <c r="M40" s="83" t="e" vm="124">
        <f>_xlfn.XLOOKUP(I40,Teams!$C:$C,Teams!$E:$E,,0,1)</f>
        <v>#VALUE!</v>
      </c>
      <c r="N40" s="83">
        <f t="shared" ca="1" si="12"/>
        <v>100</v>
      </c>
      <c r="O40" s="192" t="str">
        <f t="shared" ca="1" si="10"/>
        <v>Coppin State</v>
      </c>
      <c r="P40" s="207" t="e" vm="123">
        <f ca="1">_xlfn.XLOOKUP(O40,Teams!$C:$C,Teams!$E:$E,,0,1)</f>
        <v>#VALUE!</v>
      </c>
      <c r="Q40" s="228" t="s">
        <v>1202</v>
      </c>
      <c r="R40" s="6" t="b">
        <f t="shared" ca="1" si="13"/>
        <v>0</v>
      </c>
      <c r="S40" s="98"/>
    </row>
    <row r="41" spans="1:19" ht="24" customHeight="1" thickBot="1" x14ac:dyDescent="0.3">
      <c r="A41" s="91" t="str">
        <f t="shared" si="14"/>
        <v>Creighton</v>
      </c>
      <c r="B41" s="91" t="str">
        <f t="shared" si="7"/>
        <v>Dartmouth</v>
      </c>
      <c r="C41" s="91" t="str">
        <f t="shared" ca="1" si="8"/>
        <v>Dartmouth</v>
      </c>
      <c r="D41" s="91" t="e">
        <f t="shared" si="9"/>
        <v>#REF!</v>
      </c>
      <c r="E41" s="121">
        <v>32</v>
      </c>
      <c r="F41" s="122" cm="1">
        <f t="array" ref="F41">_xlfn.XLOOKUP(G41,Teams[[#All],[Team]],Teams[[#All],[Seed]],0,0,1)</f>
        <v>2</v>
      </c>
      <c r="G41" s="123" t="str">
        <f>Teams!C64</f>
        <v>Creighton</v>
      </c>
      <c r="H41" s="179" t="s">
        <v>9</v>
      </c>
      <c r="I41" s="124" t="str">
        <f>Teams!C65</f>
        <v>Dartmouth</v>
      </c>
      <c r="J41" s="125" cm="1">
        <f t="array" ref="J41">_xlfn.XLOOKUP(I41,Teams[[#All],[Team]],Teams[[#All],[Seed]],0,0,1)</f>
        <v>15</v>
      </c>
      <c r="K41" s="126" t="e" vm="125">
        <f>_xlfn.XLOOKUP(G41,Teams!$C:$C,Teams!$E:$E,,0,1)</f>
        <v>#VALUE!</v>
      </c>
      <c r="L41" s="126">
        <f t="shared" ca="1" si="12"/>
        <v>120</v>
      </c>
      <c r="M41" s="126" t="e" vm="126">
        <f>_xlfn.XLOOKUP(I41,Teams!$C:$C,Teams!$E:$E,,0,1)</f>
        <v>#VALUE!</v>
      </c>
      <c r="N41" s="126">
        <f t="shared" ca="1" si="12"/>
        <v>119</v>
      </c>
      <c r="O41" s="193" t="str">
        <f t="shared" ca="1" si="10"/>
        <v>Creighton</v>
      </c>
      <c r="P41" s="208" t="e" vm="125">
        <f ca="1">_xlfn.XLOOKUP(O41,Teams!$C:$C,Teams!$E:$E,,0,1)</f>
        <v>#VALUE!</v>
      </c>
      <c r="Q41" s="229" t="s">
        <v>1202</v>
      </c>
      <c r="R41" s="6" t="b">
        <f t="shared" ca="1" si="13"/>
        <v>0</v>
      </c>
      <c r="S41" s="98"/>
    </row>
    <row r="42" spans="1:19" ht="24" customHeight="1" thickBot="1" x14ac:dyDescent="0.3">
      <c r="E42" s="67" t="s">
        <v>10</v>
      </c>
      <c r="F42" s="240" t="str">
        <f>Bracket!F2</f>
        <v>Second Round</v>
      </c>
      <c r="G42" s="240"/>
      <c r="H42" s="240"/>
      <c r="I42" s="240"/>
      <c r="J42" s="240"/>
      <c r="K42" s="68"/>
      <c r="L42" s="68"/>
      <c r="M42" s="68"/>
      <c r="N42" s="68"/>
      <c r="O42" s="68" t="s">
        <v>8</v>
      </c>
      <c r="P42" s="68"/>
      <c r="Q42" s="231"/>
      <c r="S42" s="98"/>
    </row>
    <row r="43" spans="1:19" ht="24" customHeight="1" x14ac:dyDescent="0.25">
      <c r="A43" s="91" t="str">
        <f ca="1">G43</f>
        <v>Abilene Christian</v>
      </c>
      <c r="B43" s="91" t="str">
        <f ca="1">I43</f>
        <v>Alabama</v>
      </c>
      <c r="C43" s="91" t="str">
        <f t="shared" ref="C43:C58" ca="1" si="15">IF(O43="","",IF(A43=O43,B43,A43))</f>
        <v>Alabama</v>
      </c>
      <c r="D43" s="91" t="e">
        <f t="shared" ref="D43:D58" si="16">IF(SeedType=1,0,IF(SeedType=2,VLOOKUP(O43,SeedInfo,2,FALSE)*2,MAX(VLOOKUP(O43,SeedInfo,2,FALSE)-VLOOKUP(C43,SeedInfo,2,FALSE),0)))</f>
        <v>#REF!</v>
      </c>
      <c r="E43" s="129">
        <f>Bracket!F7</f>
        <v>33</v>
      </c>
      <c r="F43" s="130" cm="1">
        <f t="array" aca="1" ref="F43" ca="1">_xlfn.XLOOKUP(G43,Teams[[#All],[Team]],Teams[[#All],[Seed]],0,0,1)</f>
        <v>1</v>
      </c>
      <c r="G43" s="131" t="str">
        <f ca="1">O10</f>
        <v>Abilene Christian</v>
      </c>
      <c r="H43" s="181" t="s">
        <v>9</v>
      </c>
      <c r="I43" s="132" t="str">
        <f ca="1">O11</f>
        <v>Alabama</v>
      </c>
      <c r="J43" s="133" cm="1">
        <f t="array" aca="1" ref="J43" ca="1">_xlfn.XLOOKUP(I43,Teams[[#All],[Team]],Teams[[#All],[Seed]],0,0,1)</f>
        <v>9</v>
      </c>
      <c r="K43" s="84" t="e" vm="73">
        <f ca="1">_xlfn.XLOOKUP(G43,Teams!$C:$C,Teams!$E:$E,,0,1)</f>
        <v>#VALUE!</v>
      </c>
      <c r="L43" s="84">
        <f t="shared" ref="L43:N77" ca="1" si="17">RANDBETWEEN(90,120)</f>
        <v>113</v>
      </c>
      <c r="M43" s="84" t="e" vm="76">
        <f ca="1">_xlfn.XLOOKUP(I43,Teams!$C:$C,Teams!$E:$E,,0,1)</f>
        <v>#VALUE!</v>
      </c>
      <c r="N43" s="84">
        <f t="shared" ca="1" si="17"/>
        <v>109</v>
      </c>
      <c r="O43" s="194" t="str">
        <f t="shared" ref="O43:O58" ca="1" si="18">IF(L43&gt;N43,G43,I43)</f>
        <v>Abilene Christian</v>
      </c>
      <c r="P43" s="209" t="e" vm="73">
        <f ca="1">_xlfn.XLOOKUP(O43,Teams!$C:$C,Teams!$E:$E,,0,1)</f>
        <v>#VALUE!</v>
      </c>
      <c r="Q43" s="224" t="s">
        <v>1202</v>
      </c>
      <c r="R43" s="6" t="b">
        <f t="shared" ca="1" si="13"/>
        <v>0</v>
      </c>
      <c r="S43" s="98"/>
    </row>
    <row r="44" spans="1:19" ht="24" customHeight="1" x14ac:dyDescent="0.25">
      <c r="A44" s="91" t="str">
        <f t="shared" ref="A44:A58" ca="1" si="19">G44</f>
        <v>Arizona</v>
      </c>
      <c r="B44" s="91" t="str">
        <f t="shared" ref="B44:B58" ca="1" si="20">I44</f>
        <v>Alcorn State</v>
      </c>
      <c r="C44" s="91" t="str">
        <f t="shared" ca="1" si="15"/>
        <v>Arizona</v>
      </c>
      <c r="D44" s="91" t="e">
        <f t="shared" si="16"/>
        <v>#REF!</v>
      </c>
      <c r="E44" s="99">
        <v>34</v>
      </c>
      <c r="F44" s="100" cm="1">
        <f t="array" aca="1" ref="F44" ca="1">_xlfn.XLOOKUP(G44,Teams[[#All],[Team]],Teams[[#All],[Seed]],0,0,1)</f>
        <v>3</v>
      </c>
      <c r="G44" s="101" t="str">
        <f ca="1">O12</f>
        <v>Arizona</v>
      </c>
      <c r="H44" s="176" t="s">
        <v>9</v>
      </c>
      <c r="I44" s="102" t="str">
        <f ca="1">O13</f>
        <v>Alcorn State</v>
      </c>
      <c r="J44" s="103" cm="1">
        <f t="array" aca="1" ref="J44" ca="1">_xlfn.XLOOKUP(I44,Teams[[#All],[Team]],Teams[[#All],[Seed]],0,0,1)</f>
        <v>13</v>
      </c>
      <c r="K44" s="82" t="e" vm="78">
        <f ca="1">_xlfn.XLOOKUP(G44,Teams!$C:$C,Teams!$E:$E,,0,1)</f>
        <v>#VALUE!</v>
      </c>
      <c r="L44" s="82">
        <f t="shared" ca="1" si="17"/>
        <v>107</v>
      </c>
      <c r="M44" s="82" t="e" vm="80">
        <f ca="1">_xlfn.XLOOKUP(I44,Teams!$C:$C,Teams!$E:$E,,0,1)</f>
        <v>#VALUE!</v>
      </c>
      <c r="N44" s="82">
        <f t="shared" ca="1" si="17"/>
        <v>119</v>
      </c>
      <c r="O44" s="189" t="str">
        <f t="shared" ca="1" si="18"/>
        <v>Alcorn State</v>
      </c>
      <c r="P44" s="204" t="e" vm="80">
        <f ca="1">_xlfn.XLOOKUP(O44,Teams!$C:$C,Teams!$E:$E,,0,1)</f>
        <v>#VALUE!</v>
      </c>
      <c r="Q44" s="225" t="s">
        <v>1202</v>
      </c>
      <c r="R44" s="6" t="b">
        <f t="shared" ca="1" si="13"/>
        <v>1</v>
      </c>
      <c r="S44" s="98"/>
    </row>
    <row r="45" spans="1:19" ht="24" customHeight="1" x14ac:dyDescent="0.25">
      <c r="A45" s="91" t="str">
        <f t="shared" ca="1" si="19"/>
        <v>Appalachian State</v>
      </c>
      <c r="B45" s="91" t="str">
        <f t="shared" ca="1" si="20"/>
        <v>Arizona State</v>
      </c>
      <c r="C45" s="91" t="str">
        <f t="shared" ca="1" si="15"/>
        <v>Appalachian State</v>
      </c>
      <c r="D45" s="91" t="e">
        <f t="shared" si="16"/>
        <v>#REF!</v>
      </c>
      <c r="E45" s="99">
        <v>35</v>
      </c>
      <c r="F45" s="100" cm="1">
        <f t="array" aca="1" ref="F45" ca="1">_xlfn.XLOOKUP(G45,Teams[[#All],[Team]],Teams[[#All],[Seed]],0,0,1)</f>
        <v>11</v>
      </c>
      <c r="G45" s="101" t="str">
        <f ca="1">O14</f>
        <v>Appalachian State</v>
      </c>
      <c r="H45" s="176" t="s">
        <v>9</v>
      </c>
      <c r="I45" s="102" t="str">
        <f ca="1">O15</f>
        <v>Arizona State</v>
      </c>
      <c r="J45" s="103" cm="1">
        <f t="array" aca="1" ref="J45" ca="1">_xlfn.XLOOKUP(I45,Teams[[#All],[Team]],Teams[[#All],[Seed]],0,0,1)</f>
        <v>14</v>
      </c>
      <c r="K45" s="82" t="e" vm="82">
        <f ca="1">_xlfn.XLOOKUP(G45,Teams!$C:$C,Teams!$E:$E,,0,1)</f>
        <v>#VALUE!</v>
      </c>
      <c r="L45" s="82">
        <f t="shared" ca="1" si="17"/>
        <v>102</v>
      </c>
      <c r="M45" s="82" t="e" vm="79">
        <f ca="1">_xlfn.XLOOKUP(I45,Teams!$C:$C,Teams!$E:$E,,0,1)</f>
        <v>#VALUE!</v>
      </c>
      <c r="N45" s="82">
        <f t="shared" ca="1" si="17"/>
        <v>114</v>
      </c>
      <c r="O45" s="189" t="str">
        <f t="shared" ca="1" si="18"/>
        <v>Arizona State</v>
      </c>
      <c r="P45" s="204" t="e" vm="79">
        <f ca="1">_xlfn.XLOOKUP(O45,Teams!$C:$C,Teams!$E:$E,,0,1)</f>
        <v>#VALUE!</v>
      </c>
      <c r="Q45" s="225" t="s">
        <v>1202</v>
      </c>
      <c r="R45" s="6" t="b">
        <f t="shared" ca="1" si="13"/>
        <v>1</v>
      </c>
      <c r="S45" s="98"/>
    </row>
    <row r="46" spans="1:19" ht="24" customHeight="1" thickBot="1" x14ac:dyDescent="0.3">
      <c r="A46" s="91" t="str">
        <f t="shared" ca="1" si="19"/>
        <v>Arkansas</v>
      </c>
      <c r="B46" s="91" t="str">
        <f t="shared" ca="1" si="20"/>
        <v>Army</v>
      </c>
      <c r="C46" s="91" t="str">
        <f t="shared" ca="1" si="15"/>
        <v>Arkansas</v>
      </c>
      <c r="D46" s="91" t="e">
        <f t="shared" si="16"/>
        <v>#REF!</v>
      </c>
      <c r="E46" s="134">
        <v>36</v>
      </c>
      <c r="F46" s="135" cm="1">
        <f t="array" aca="1" ref="F46" ca="1">_xlfn.XLOOKUP(G46,Teams[[#All],[Team]],Teams[[#All],[Seed]],0,0,1)</f>
        <v>7</v>
      </c>
      <c r="G46" s="136" t="str">
        <f ca="1">O16</f>
        <v>Arkansas</v>
      </c>
      <c r="H46" s="182" t="s">
        <v>9</v>
      </c>
      <c r="I46" s="137" t="str">
        <f ca="1">O17</f>
        <v>Army</v>
      </c>
      <c r="J46" s="138" cm="1">
        <f t="array" aca="1" ref="J46" ca="1">_xlfn.XLOOKUP(I46,Teams[[#All],[Team]],Teams[[#All],[Seed]],0,0,1)</f>
        <v>15</v>
      </c>
      <c r="K46" s="139" t="e" vm="83">
        <f ca="1">_xlfn.XLOOKUP(G46,Teams!$C:$C,Teams!$E:$E,,0,1)</f>
        <v>#VALUE!</v>
      </c>
      <c r="L46" s="139">
        <f t="shared" ca="1" si="17"/>
        <v>91</v>
      </c>
      <c r="M46" s="139" t="e" vm="86">
        <f ca="1">_xlfn.XLOOKUP(I46,Teams!$C:$C,Teams!$E:$E,,0,1)</f>
        <v>#VALUE!</v>
      </c>
      <c r="N46" s="139">
        <f t="shared" ca="1" si="17"/>
        <v>109</v>
      </c>
      <c r="O46" s="195" t="str">
        <f t="shared" ca="1" si="18"/>
        <v>Army</v>
      </c>
      <c r="P46" s="210" t="e" vm="86">
        <f ca="1">_xlfn.XLOOKUP(O46,Teams!$C:$C,Teams!$E:$E,,0,1)</f>
        <v>#VALUE!</v>
      </c>
      <c r="Q46" s="226" t="s">
        <v>1202</v>
      </c>
      <c r="R46" s="6" t="b">
        <f t="shared" ca="1" si="13"/>
        <v>1</v>
      </c>
      <c r="S46" s="98"/>
    </row>
    <row r="47" spans="1:19" ht="24" customHeight="1" x14ac:dyDescent="0.25">
      <c r="A47" s="91" t="str">
        <f t="shared" ca="1" si="19"/>
        <v>Auburn</v>
      </c>
      <c r="B47" s="91" t="str">
        <f t="shared" ca="1" si="20"/>
        <v>Baylor</v>
      </c>
      <c r="C47" s="91" t="str">
        <f t="shared" ca="1" si="15"/>
        <v>Auburn</v>
      </c>
      <c r="D47" s="91" t="e">
        <f t="shared" si="16"/>
        <v>#REF!</v>
      </c>
      <c r="E47" s="140">
        <v>37</v>
      </c>
      <c r="F47" s="141" cm="1">
        <f t="array" aca="1" ref="F47" ca="1">_xlfn.XLOOKUP(G47,Teams[[#All],[Team]],Teams[[#All],[Seed]],0,0,1)</f>
        <v>1</v>
      </c>
      <c r="G47" s="142" t="str">
        <f ca="1">O18</f>
        <v>Auburn</v>
      </c>
      <c r="H47" s="183" t="s">
        <v>9</v>
      </c>
      <c r="I47" s="143" t="str">
        <f ca="1">O19</f>
        <v>Baylor</v>
      </c>
      <c r="J47" s="144" cm="1">
        <f t="array" aca="1" ref="J47" ca="1">_xlfn.XLOOKUP(I47,Teams[[#All],[Team]],Teams[[#All],[Seed]],0,0,1)</f>
        <v>9</v>
      </c>
      <c r="K47" s="145" t="e" vm="87">
        <f ca="1">_xlfn.XLOOKUP(G47,Teams!$C:$C,Teams!$E:$E,,0,1)</f>
        <v>#VALUE!</v>
      </c>
      <c r="L47" s="145">
        <f t="shared" ca="1" si="17"/>
        <v>90</v>
      </c>
      <c r="M47" s="145" t="e" vm="90">
        <f ca="1">_xlfn.XLOOKUP(I47,Teams!$C:$C,Teams!$E:$E,,0,1)</f>
        <v>#VALUE!</v>
      </c>
      <c r="N47" s="145">
        <f t="shared" ca="1" si="17"/>
        <v>99</v>
      </c>
      <c r="O47" s="196" t="str">
        <f t="shared" ca="1" si="18"/>
        <v>Baylor</v>
      </c>
      <c r="P47" s="211" t="e" vm="90">
        <f ca="1">_xlfn.XLOOKUP(O47,Teams!$C:$C,Teams!$E:$E,,0,1)</f>
        <v>#VALUE!</v>
      </c>
      <c r="Q47" s="227" t="s">
        <v>1202</v>
      </c>
      <c r="R47" s="6" t="b">
        <f t="shared" ca="1" si="13"/>
        <v>1</v>
      </c>
      <c r="S47" s="98"/>
    </row>
    <row r="48" spans="1:19" ht="24" customHeight="1" x14ac:dyDescent="0.25">
      <c r="A48" s="91" t="str">
        <f t="shared" ca="1" si="19"/>
        <v>Belmont</v>
      </c>
      <c r="B48" s="91" t="str">
        <f t="shared" ca="1" si="20"/>
        <v>Bethune-Cookman</v>
      </c>
      <c r="C48" s="91" t="str">
        <f t="shared" ca="1" si="15"/>
        <v>Bethune-Cookman</v>
      </c>
      <c r="D48" s="91" t="e">
        <f t="shared" si="16"/>
        <v>#REF!</v>
      </c>
      <c r="E48" s="116">
        <v>38</v>
      </c>
      <c r="F48" s="117" cm="1">
        <f t="array" aca="1" ref="F48" ca="1">_xlfn.XLOOKUP(G48,Teams[[#All],[Team]],Teams[[#All],[Seed]],0,0,1)</f>
        <v>12</v>
      </c>
      <c r="G48" s="118" t="str">
        <f ca="1">O20</f>
        <v>Belmont</v>
      </c>
      <c r="H48" s="178" t="s">
        <v>9</v>
      </c>
      <c r="I48" s="119" t="str">
        <f ca="1">O21</f>
        <v>Bethune-Cookman</v>
      </c>
      <c r="J48" s="120" cm="1">
        <f t="array" aca="1" ref="J48" ca="1">_xlfn.XLOOKUP(I48,Teams[[#All],[Team]],Teams[[#All],[Seed]],0,0,1)</f>
        <v>4</v>
      </c>
      <c r="K48" s="83" t="e" vm="92">
        <f ca="1">_xlfn.XLOOKUP(G48,Teams!$C:$C,Teams!$E:$E,,0,1)</f>
        <v>#VALUE!</v>
      </c>
      <c r="L48" s="83">
        <f t="shared" ca="1" si="17"/>
        <v>115</v>
      </c>
      <c r="M48" s="83" t="e" vm="93">
        <f ca="1">_xlfn.XLOOKUP(I48,Teams!$C:$C,Teams!$E:$E,,0,1)</f>
        <v>#VALUE!</v>
      </c>
      <c r="N48" s="83">
        <f t="shared" ca="1" si="17"/>
        <v>111</v>
      </c>
      <c r="O48" s="192" t="str">
        <f t="shared" ca="1" si="18"/>
        <v>Belmont</v>
      </c>
      <c r="P48" s="207" t="e" vm="92">
        <f ca="1">_xlfn.XLOOKUP(O48,Teams!$C:$C,Teams!$E:$E,,0,1)</f>
        <v>#VALUE!</v>
      </c>
      <c r="Q48" s="228" t="s">
        <v>1202</v>
      </c>
      <c r="R48" s="6" t="b">
        <f t="shared" ca="1" si="13"/>
        <v>1</v>
      </c>
      <c r="S48" s="98"/>
    </row>
    <row r="49" spans="1:19" ht="24" customHeight="1" x14ac:dyDescent="0.25">
      <c r="A49" s="91" t="str">
        <f t="shared" ca="1" si="19"/>
        <v>Boise State</v>
      </c>
      <c r="B49" s="91" t="str">
        <f t="shared" ca="1" si="20"/>
        <v>Duke</v>
      </c>
      <c r="C49" s="91" t="str">
        <f t="shared" ca="1" si="15"/>
        <v>Duke</v>
      </c>
      <c r="D49" s="91" t="e">
        <f t="shared" si="16"/>
        <v>#REF!</v>
      </c>
      <c r="E49" s="116">
        <v>39</v>
      </c>
      <c r="F49" s="117" cm="1">
        <f t="array" aca="1" ref="F49" ca="1">_xlfn.XLOOKUP(G49,Teams[[#All],[Team]],Teams[[#All],[Seed]],0,0,1)</f>
        <v>6</v>
      </c>
      <c r="G49" s="118" t="str">
        <f ca="1">O22</f>
        <v>Boise State</v>
      </c>
      <c r="H49" s="178" t="s">
        <v>9</v>
      </c>
      <c r="I49" s="119" t="str">
        <f ca="1">O23</f>
        <v>Duke</v>
      </c>
      <c r="J49" s="120" cm="1">
        <f t="array" aca="1" ref="J49" ca="1">_xlfn.XLOOKUP(I49,Teams[[#All],[Team]],Teams[[#All],[Seed]],0,0,1)</f>
        <v>14</v>
      </c>
      <c r="K49" s="83" t="e" vm="66">
        <f ca="1">_xlfn.XLOOKUP(G49,Teams!$C:$C,Teams!$E:$E,,0,1)</f>
        <v>#VALUE!</v>
      </c>
      <c r="L49" s="83">
        <f t="shared" ca="1" si="17"/>
        <v>110</v>
      </c>
      <c r="M49" s="83" t="e" vm="69">
        <f ca="1">_xlfn.XLOOKUP(I49,Teams!$C:$C,Teams!$E:$E,,0,1)</f>
        <v>#VALUE!</v>
      </c>
      <c r="N49" s="83">
        <f t="shared" ca="1" si="17"/>
        <v>102</v>
      </c>
      <c r="O49" s="192" t="str">
        <f t="shared" ca="1" si="18"/>
        <v>Boise State</v>
      </c>
      <c r="P49" s="207" t="e" vm="66">
        <f ca="1">_xlfn.XLOOKUP(O49,Teams!$C:$C,Teams!$E:$E,,0,1)</f>
        <v>#VALUE!</v>
      </c>
      <c r="Q49" s="228" t="s">
        <v>1202</v>
      </c>
      <c r="R49" s="6" t="b">
        <f t="shared" ca="1" si="13"/>
        <v>0</v>
      </c>
      <c r="S49" s="98"/>
    </row>
    <row r="50" spans="1:19" ht="24" customHeight="1" thickBot="1" x14ac:dyDescent="0.3">
      <c r="A50" s="91" t="str">
        <f t="shared" ca="1" si="19"/>
        <v>Brigham Young</v>
      </c>
      <c r="B50" s="91" t="str">
        <f t="shared" ca="1" si="20"/>
        <v>Bryant</v>
      </c>
      <c r="C50" s="91" t="str">
        <f t="shared" ca="1" si="15"/>
        <v>Brigham Young</v>
      </c>
      <c r="D50" s="91" t="e">
        <f t="shared" si="16"/>
        <v>#REF!</v>
      </c>
      <c r="E50" s="146">
        <v>40</v>
      </c>
      <c r="F50" s="147" cm="1">
        <f t="array" aca="1" ref="F50" ca="1">_xlfn.XLOOKUP(G50,Teams[[#All],[Team]],Teams[[#All],[Seed]],0,0,1)</f>
        <v>10</v>
      </c>
      <c r="G50" s="148" t="str">
        <f ca="1">O24</f>
        <v>Brigham Young</v>
      </c>
      <c r="H50" s="184" t="s">
        <v>9</v>
      </c>
      <c r="I50" s="149" t="str">
        <f ca="1">O25</f>
        <v>Bryant</v>
      </c>
      <c r="J50" s="150" cm="1">
        <f t="array" aca="1" ref="J50" ca="1">_xlfn.XLOOKUP(I50,Teams[[#All],[Team]],Teams[[#All],[Seed]],0,0,1)</f>
        <v>15</v>
      </c>
      <c r="K50" s="151" t="e" vm="71">
        <f ca="1">_xlfn.XLOOKUP(G50,Teams!$C:$C,Teams!$E:$E,,0,1)</f>
        <v>#VALUE!</v>
      </c>
      <c r="L50" s="151">
        <f t="shared" ca="1" si="17"/>
        <v>109</v>
      </c>
      <c r="M50" s="151" t="e" vm="94">
        <f ca="1">_xlfn.XLOOKUP(I50,Teams!$C:$C,Teams!$E:$E,,0,1)</f>
        <v>#VALUE!</v>
      </c>
      <c r="N50" s="151">
        <f t="shared" ca="1" si="17"/>
        <v>112</v>
      </c>
      <c r="O50" s="197" t="str">
        <f t="shared" ca="1" si="18"/>
        <v>Bryant</v>
      </c>
      <c r="P50" s="212" t="e" vm="94">
        <f ca="1">_xlfn.XLOOKUP(O50,Teams!$C:$C,Teams!$E:$E,,0,1)</f>
        <v>#VALUE!</v>
      </c>
      <c r="Q50" s="229" t="s">
        <v>1202</v>
      </c>
      <c r="R50" s="6" t="b">
        <f t="shared" ca="1" si="13"/>
        <v>1</v>
      </c>
      <c r="S50" s="98"/>
    </row>
    <row r="51" spans="1:19" ht="24" customHeight="1" x14ac:dyDescent="0.25">
      <c r="A51" s="152" t="str">
        <f t="shared" ca="1" si="19"/>
        <v>Bucknell</v>
      </c>
      <c r="B51" s="152" t="str">
        <f t="shared" ca="1" si="20"/>
        <v>Butler</v>
      </c>
      <c r="C51" s="152" t="str">
        <f t="shared" ca="1" si="15"/>
        <v>Butler</v>
      </c>
      <c r="D51" s="152" t="e">
        <f t="shared" si="16"/>
        <v>#REF!</v>
      </c>
      <c r="E51" s="129">
        <v>41</v>
      </c>
      <c r="F51" s="130" cm="1">
        <f t="array" aca="1" ref="F51" ca="1">_xlfn.XLOOKUP(G51,Teams[[#All],[Team]],Teams[[#All],[Seed]],0,0,1)</f>
        <v>1</v>
      </c>
      <c r="G51" s="131" t="str">
        <f ca="1">O26</f>
        <v>Bucknell</v>
      </c>
      <c r="H51" s="181" t="s">
        <v>9</v>
      </c>
      <c r="I51" s="132" t="str">
        <f ca="1">O27</f>
        <v>Butler</v>
      </c>
      <c r="J51" s="133" cm="1">
        <f t="array" aca="1" ref="J51" ca="1">_xlfn.XLOOKUP(I51,Teams[[#All],[Team]],Teams[[#All],[Seed]],0,0,1)</f>
        <v>8</v>
      </c>
      <c r="K51" s="84" t="e" vm="95">
        <f ca="1">_xlfn.XLOOKUP(G51,Teams!$C:$C,Teams!$E:$E,,0,1)</f>
        <v>#VALUE!</v>
      </c>
      <c r="L51" s="84">
        <f t="shared" ca="1" si="17"/>
        <v>93</v>
      </c>
      <c r="M51" s="84" t="e" vm="97">
        <f ca="1">_xlfn.XLOOKUP(I51,Teams!$C:$C,Teams!$E:$E,,0,1)</f>
        <v>#VALUE!</v>
      </c>
      <c r="N51" s="84">
        <f t="shared" ca="1" si="17"/>
        <v>90</v>
      </c>
      <c r="O51" s="194" t="str">
        <f t="shared" ca="1" si="18"/>
        <v>Bucknell</v>
      </c>
      <c r="P51" s="209" t="e" vm="95">
        <f ca="1">_xlfn.XLOOKUP(O51,Teams!$C:$C,Teams!$E:$E,,0,1)</f>
        <v>#VALUE!</v>
      </c>
      <c r="Q51" s="230" t="s">
        <v>1202</v>
      </c>
      <c r="R51" s="6" t="b">
        <f t="shared" ca="1" si="13"/>
        <v>0</v>
      </c>
      <c r="S51" s="98"/>
    </row>
    <row r="52" spans="1:19" ht="24" customHeight="1" x14ac:dyDescent="0.25">
      <c r="A52" s="152" t="str">
        <f t="shared" ca="1" si="19"/>
        <v>Cal State Fullerton</v>
      </c>
      <c r="B52" s="152" t="str">
        <f t="shared" ca="1" si="20"/>
        <v>Cal State Northridge</v>
      </c>
      <c r="C52" s="152" t="str">
        <f t="shared" ca="1" si="15"/>
        <v>Cal State Fullerton</v>
      </c>
      <c r="D52" s="152" t="e">
        <f t="shared" si="16"/>
        <v>#REF!</v>
      </c>
      <c r="E52" s="99">
        <v>42</v>
      </c>
      <c r="F52" s="100" cm="1">
        <f t="array" aca="1" ref="F52" ca="1">_xlfn.XLOOKUP(G52,Teams[[#All],[Team]],Teams[[#All],[Seed]],0,0,1)</f>
        <v>12</v>
      </c>
      <c r="G52" s="101" t="str">
        <f ca="1">O28</f>
        <v>Cal State Fullerton</v>
      </c>
      <c r="H52" s="176" t="s">
        <v>9</v>
      </c>
      <c r="I52" s="102" t="str">
        <f ca="1">O29</f>
        <v>Cal State Northridge</v>
      </c>
      <c r="J52" s="103" cm="1">
        <f t="array" aca="1" ref="J52" ca="1">_xlfn.XLOOKUP(I52,Teams[[#All],[Team]],Teams[[#All],[Seed]],0,0,1)</f>
        <v>4</v>
      </c>
      <c r="K52" s="82" t="e" vm="100">
        <f ca="1">_xlfn.XLOOKUP(G52,Teams!$C:$C,Teams!$E:$E,,0,1)</f>
        <v>#VALUE!</v>
      </c>
      <c r="L52" s="82">
        <f t="shared" ca="1" si="17"/>
        <v>98</v>
      </c>
      <c r="M52" s="82" t="e" vm="101">
        <f ca="1">_xlfn.XLOOKUP(I52,Teams!$C:$C,Teams!$E:$E,,0,1)</f>
        <v>#VALUE!</v>
      </c>
      <c r="N52" s="82">
        <f t="shared" ca="1" si="17"/>
        <v>109</v>
      </c>
      <c r="O52" s="189" t="str">
        <f t="shared" ca="1" si="18"/>
        <v>Cal State Northridge</v>
      </c>
      <c r="P52" s="204" t="e" vm="101">
        <f ca="1">_xlfn.XLOOKUP(O52,Teams!$C:$C,Teams!$E:$E,,0,1)</f>
        <v>#VALUE!</v>
      </c>
      <c r="Q52" s="225" t="s">
        <v>1202</v>
      </c>
      <c r="R52" s="6" t="b">
        <f t="shared" ca="1" si="13"/>
        <v>0</v>
      </c>
      <c r="S52" s="98"/>
    </row>
    <row r="53" spans="1:19" ht="24" customHeight="1" x14ac:dyDescent="0.25">
      <c r="A53" s="152" t="str">
        <f t="shared" ca="1" si="19"/>
        <v>California Baptist</v>
      </c>
      <c r="B53" s="152" t="str">
        <f t="shared" ca="1" si="20"/>
        <v>Central Arkansas</v>
      </c>
      <c r="C53" s="152" t="str">
        <f t="shared" ca="1" si="15"/>
        <v>California Baptist</v>
      </c>
      <c r="D53" s="152" t="e">
        <f t="shared" si="16"/>
        <v>#REF!</v>
      </c>
      <c r="E53" s="99">
        <v>43</v>
      </c>
      <c r="F53" s="100" cm="1">
        <f t="array" aca="1" ref="F53" ca="1">_xlfn.XLOOKUP(G53,Teams[[#All],[Team]],Teams[[#All],[Seed]],0,0,1)</f>
        <v>6</v>
      </c>
      <c r="G53" s="101" t="str">
        <f ca="1">O30</f>
        <v>California Baptist</v>
      </c>
      <c r="H53" s="176" t="s">
        <v>9</v>
      </c>
      <c r="I53" s="102" t="str">
        <f ca="1">O31</f>
        <v>Central Arkansas</v>
      </c>
      <c r="J53" s="103" cm="1">
        <f t="array" aca="1" ref="J53" ca="1">_xlfn.XLOOKUP(I53,Teams[[#All],[Team]],Teams[[#All],[Seed]],0,0,1)</f>
        <v>14</v>
      </c>
      <c r="K53" s="82" t="e" vm="103">
        <f ca="1">_xlfn.XLOOKUP(G53,Teams!$C:$C,Teams!$E:$E,,0,1)</f>
        <v>#VALUE!</v>
      </c>
      <c r="L53" s="82">
        <f t="shared" ca="1" si="17"/>
        <v>102</v>
      </c>
      <c r="M53" s="82" t="e" vm="106">
        <f ca="1">_xlfn.XLOOKUP(I53,Teams!$C:$C,Teams!$E:$E,,0,1)</f>
        <v>#VALUE!</v>
      </c>
      <c r="N53" s="82">
        <f t="shared" ca="1" si="17"/>
        <v>107</v>
      </c>
      <c r="O53" s="189" t="str">
        <f t="shared" ca="1" si="18"/>
        <v>Central Arkansas</v>
      </c>
      <c r="P53" s="204" t="e" vm="106">
        <f ca="1">_xlfn.XLOOKUP(O53,Teams!$C:$C,Teams!$E:$E,,0,1)</f>
        <v>#VALUE!</v>
      </c>
      <c r="Q53" s="225" t="s">
        <v>1202</v>
      </c>
      <c r="R53" s="6" t="b">
        <f t="shared" ca="1" si="13"/>
        <v>1</v>
      </c>
      <c r="S53" s="98"/>
    </row>
    <row r="54" spans="1:19" ht="24" customHeight="1" thickBot="1" x14ac:dyDescent="0.3">
      <c r="A54" s="152" t="str">
        <f t="shared" ca="1" si="19"/>
        <v>Central Michigan</v>
      </c>
      <c r="B54" s="152" t="str">
        <f t="shared" ca="1" si="20"/>
        <v>Charlotte</v>
      </c>
      <c r="C54" s="152" t="str">
        <f t="shared" ca="1" si="15"/>
        <v>Central Michigan</v>
      </c>
      <c r="D54" s="152" t="e">
        <f t="shared" si="16"/>
        <v>#REF!</v>
      </c>
      <c r="E54" s="134">
        <v>44</v>
      </c>
      <c r="F54" s="135" cm="1">
        <f t="array" aca="1" ref="F54" ca="1">_xlfn.XLOOKUP(G54,Teams[[#All],[Team]],Teams[[#All],[Seed]],0,0,1)</f>
        <v>10</v>
      </c>
      <c r="G54" s="136" t="str">
        <f ca="1">O32</f>
        <v>Central Michigan</v>
      </c>
      <c r="H54" s="182" t="s">
        <v>9</v>
      </c>
      <c r="I54" s="137" t="str">
        <f ca="1">O33</f>
        <v>Charlotte</v>
      </c>
      <c r="J54" s="138" cm="1">
        <f t="array" aca="1" ref="J54" ca="1">_xlfn.XLOOKUP(I54,Teams[[#All],[Team]],Teams[[#All],[Seed]],0,0,1)</f>
        <v>15</v>
      </c>
      <c r="K54" s="139" t="e" vm="108">
        <f ca="1">_xlfn.XLOOKUP(G54,Teams!$C:$C,Teams!$E:$E,,0,1)</f>
        <v>#VALUE!</v>
      </c>
      <c r="L54" s="139">
        <f t="shared" ca="1" si="17"/>
        <v>105</v>
      </c>
      <c r="M54" s="139" t="e" vm="110">
        <f ca="1">_xlfn.XLOOKUP(I54,Teams!$C:$C,Teams!$E:$E,,0,1)</f>
        <v>#VALUE!</v>
      </c>
      <c r="N54" s="139">
        <f t="shared" ca="1" si="17"/>
        <v>110</v>
      </c>
      <c r="O54" s="195" t="str">
        <f t="shared" ca="1" si="18"/>
        <v>Charlotte</v>
      </c>
      <c r="P54" s="210" t="e" vm="110">
        <f ca="1">_xlfn.XLOOKUP(O54,Teams!$C:$C,Teams!$E:$E,,0,1)</f>
        <v>#VALUE!</v>
      </c>
      <c r="Q54" s="226" t="s">
        <v>1202</v>
      </c>
      <c r="R54" s="6" t="b">
        <f t="shared" ca="1" si="13"/>
        <v>1</v>
      </c>
      <c r="S54" s="98"/>
    </row>
    <row r="55" spans="1:19" ht="24" customHeight="1" x14ac:dyDescent="0.25">
      <c r="A55" s="91" t="str">
        <f t="shared" ca="1" si="19"/>
        <v>Chicago State</v>
      </c>
      <c r="B55" s="91" t="str">
        <f t="shared" ca="1" si="20"/>
        <v>Clemson</v>
      </c>
      <c r="C55" s="91" t="str">
        <f t="shared" ca="1" si="15"/>
        <v>Clemson</v>
      </c>
      <c r="D55" s="91" t="e">
        <f t="shared" si="16"/>
        <v>#REF!</v>
      </c>
      <c r="E55" s="140">
        <v>45</v>
      </c>
      <c r="F55" s="141" cm="1">
        <f t="array" aca="1" ref="F55" ca="1">_xlfn.XLOOKUP(G55,Teams[[#All],[Team]],Teams[[#All],[Seed]],0,0,1)</f>
        <v>16</v>
      </c>
      <c r="G55" s="142" t="str">
        <f ca="1">O34</f>
        <v>Chicago State</v>
      </c>
      <c r="H55" s="183" t="s">
        <v>9</v>
      </c>
      <c r="I55" s="143" t="str">
        <f ca="1">O35</f>
        <v>Clemson</v>
      </c>
      <c r="J55" s="144" cm="1">
        <f t="array" aca="1" ref="J55" ca="1">_xlfn.XLOOKUP(I55,Teams[[#All],[Team]],Teams[[#All],[Seed]],0,0,1)</f>
        <v>9</v>
      </c>
      <c r="K55" s="145" t="e" vm="112">
        <f ca="1">_xlfn.XLOOKUP(G55,Teams!$C:$C,Teams!$E:$E,,0,1)</f>
        <v>#VALUE!</v>
      </c>
      <c r="L55" s="145">
        <f t="shared" ca="1" si="17"/>
        <v>109</v>
      </c>
      <c r="M55" s="145" t="e" vm="114">
        <f ca="1">_xlfn.XLOOKUP(I55,Teams!$C:$C,Teams!$E:$E,,0,1)</f>
        <v>#VALUE!</v>
      </c>
      <c r="N55" s="145">
        <f t="shared" ca="1" si="17"/>
        <v>103</v>
      </c>
      <c r="O55" s="196" t="str">
        <f t="shared" ca="1" si="18"/>
        <v>Chicago State</v>
      </c>
      <c r="P55" s="211" t="e" vm="112">
        <f ca="1">_xlfn.XLOOKUP(O55,Teams!$C:$C,Teams!$E:$E,,0,1)</f>
        <v>#VALUE!</v>
      </c>
      <c r="Q55" s="227" t="s">
        <v>1202</v>
      </c>
      <c r="R55" s="6" t="b">
        <f t="shared" ca="1" si="13"/>
        <v>1</v>
      </c>
      <c r="S55" s="98"/>
    </row>
    <row r="56" spans="1:19" ht="24" customHeight="1" x14ac:dyDescent="0.25">
      <c r="A56" s="91" t="str">
        <f t="shared" ca="1" si="19"/>
        <v>Cleveland State</v>
      </c>
      <c r="B56" s="91" t="str">
        <f t="shared" ca="1" si="20"/>
        <v>College of Charleston</v>
      </c>
      <c r="C56" s="91" t="str">
        <f t="shared" ca="1" si="15"/>
        <v>College of Charleston</v>
      </c>
      <c r="D56" s="91" t="e">
        <f t="shared" si="16"/>
        <v>#REF!</v>
      </c>
      <c r="E56" s="116">
        <v>46</v>
      </c>
      <c r="F56" s="117" cm="1">
        <f t="array" aca="1" ref="F56" ca="1">_xlfn.XLOOKUP(G56,Teams[[#All],[Team]],Teams[[#All],[Seed]],0,0,1)</f>
        <v>5</v>
      </c>
      <c r="G56" s="118" t="str">
        <f ca="1">O36</f>
        <v>Cleveland State</v>
      </c>
      <c r="H56" s="178" t="s">
        <v>9</v>
      </c>
      <c r="I56" s="119" t="str">
        <f ca="1">O37</f>
        <v>College of Charleston</v>
      </c>
      <c r="J56" s="120" cm="1">
        <f t="array" aca="1" ref="J56" ca="1">_xlfn.XLOOKUP(I56,Teams[[#All],[Team]],Teams[[#All],[Seed]],0,0,1)</f>
        <v>13</v>
      </c>
      <c r="K56" s="83" t="e" vm="115">
        <f ca="1">_xlfn.XLOOKUP(G56,Teams!$C:$C,Teams!$E:$E,,0,1)</f>
        <v>#VALUE!</v>
      </c>
      <c r="L56" s="83">
        <f t="shared" ca="1" si="17"/>
        <v>113</v>
      </c>
      <c r="M56" s="83" t="e" vm="118">
        <f ca="1">_xlfn.XLOOKUP(I56,Teams!$C:$C,Teams!$E:$E,,0,1)</f>
        <v>#VALUE!</v>
      </c>
      <c r="N56" s="83">
        <f t="shared" ca="1" si="17"/>
        <v>103</v>
      </c>
      <c r="O56" s="192" t="str">
        <f t="shared" ca="1" si="18"/>
        <v>Cleveland State</v>
      </c>
      <c r="P56" s="207" t="e" vm="115">
        <f ca="1">_xlfn.XLOOKUP(O56,Teams!$C:$C,Teams!$E:$E,,0,1)</f>
        <v>#VALUE!</v>
      </c>
      <c r="Q56" s="228" t="s">
        <v>1202</v>
      </c>
      <c r="R56" s="6" t="b">
        <f t="shared" ca="1" si="13"/>
        <v>0</v>
      </c>
      <c r="S56" s="98"/>
    </row>
    <row r="57" spans="1:19" ht="24" customHeight="1" x14ac:dyDescent="0.25">
      <c r="A57" s="91" t="str">
        <f t="shared" ca="1" si="19"/>
        <v>Colorado State</v>
      </c>
      <c r="B57" s="91" t="str">
        <f t="shared" ca="1" si="20"/>
        <v>Connecticut</v>
      </c>
      <c r="C57" s="91" t="str">
        <f t="shared" ca="1" si="15"/>
        <v>Colorado State</v>
      </c>
      <c r="D57" s="91" t="e">
        <f t="shared" si="16"/>
        <v>#REF!</v>
      </c>
      <c r="E57" s="116">
        <v>47</v>
      </c>
      <c r="F57" s="117" cm="1">
        <f t="array" aca="1" ref="F57" ca="1">_xlfn.XLOOKUP(G57,Teams[[#All],[Team]],Teams[[#All],[Seed]],0,0,1)</f>
        <v>11</v>
      </c>
      <c r="G57" s="118" t="str">
        <f ca="1">O38</f>
        <v>Colorado State</v>
      </c>
      <c r="H57" s="178" t="s">
        <v>9</v>
      </c>
      <c r="I57" s="119" t="str">
        <f ca="1">O39</f>
        <v>Connecticut</v>
      </c>
      <c r="J57" s="120" cm="1">
        <f t="array" aca="1" ref="J57" ca="1">_xlfn.XLOOKUP(I57,Teams[[#All],[Team]],Teams[[#All],[Seed]],0,0,1)</f>
        <v>14</v>
      </c>
      <c r="K57" s="83" t="e" vm="120">
        <f ca="1">_xlfn.XLOOKUP(G57,Teams!$C:$C,Teams!$E:$E,,0,1)</f>
        <v>#VALUE!</v>
      </c>
      <c r="L57" s="83">
        <f t="shared" ca="1" si="17"/>
        <v>91</v>
      </c>
      <c r="M57" s="83" t="e" vm="122">
        <f ca="1">_xlfn.XLOOKUP(I57,Teams!$C:$C,Teams!$E:$E,,0,1)</f>
        <v>#VALUE!</v>
      </c>
      <c r="N57" s="83">
        <f t="shared" ca="1" si="17"/>
        <v>114</v>
      </c>
      <c r="O57" s="192" t="str">
        <f t="shared" ca="1" si="18"/>
        <v>Connecticut</v>
      </c>
      <c r="P57" s="207" t="e" vm="122">
        <f ca="1">_xlfn.XLOOKUP(O57,Teams!$C:$C,Teams!$E:$E,,0,1)</f>
        <v>#VALUE!</v>
      </c>
      <c r="Q57" s="228" t="s">
        <v>1202</v>
      </c>
      <c r="R57" s="6" t="b">
        <f t="shared" ca="1" si="13"/>
        <v>1</v>
      </c>
      <c r="S57" s="98"/>
    </row>
    <row r="58" spans="1:19" ht="24" customHeight="1" thickBot="1" x14ac:dyDescent="0.3">
      <c r="A58" s="91" t="str">
        <f t="shared" ca="1" si="19"/>
        <v>Coppin State</v>
      </c>
      <c r="B58" s="91" t="str">
        <f t="shared" ca="1" si="20"/>
        <v>Creighton</v>
      </c>
      <c r="C58" s="91" t="str">
        <f t="shared" ca="1" si="15"/>
        <v>Coppin State</v>
      </c>
      <c r="D58" s="91" t="e">
        <f t="shared" si="16"/>
        <v>#REF!</v>
      </c>
      <c r="E58" s="146">
        <v>48</v>
      </c>
      <c r="F58" s="147" cm="1">
        <f t="array" aca="1" ref="F58" ca="1">_xlfn.XLOOKUP(G58,Teams[[#All],[Team]],Teams[[#All],[Seed]],0,0,1)</f>
        <v>7</v>
      </c>
      <c r="G58" s="148" t="str">
        <f ca="1">O40</f>
        <v>Coppin State</v>
      </c>
      <c r="H58" s="184" t="s">
        <v>9</v>
      </c>
      <c r="I58" s="149" t="str">
        <f ca="1">O41</f>
        <v>Creighton</v>
      </c>
      <c r="J58" s="150" cm="1">
        <f t="array" aca="1" ref="J58" ca="1">_xlfn.XLOOKUP(I58,Teams[[#All],[Team]],Teams[[#All],[Seed]],0,0,1)</f>
        <v>2</v>
      </c>
      <c r="K58" s="151" t="e" vm="123">
        <f ca="1">_xlfn.XLOOKUP(G58,Teams!$C:$C,Teams!$E:$E,,0,1)</f>
        <v>#VALUE!</v>
      </c>
      <c r="L58" s="151">
        <f t="shared" ca="1" si="17"/>
        <v>97</v>
      </c>
      <c r="M58" s="151" t="e" vm="125">
        <f ca="1">_xlfn.XLOOKUP(I58,Teams!$C:$C,Teams!$E:$E,,0,1)</f>
        <v>#VALUE!</v>
      </c>
      <c r="N58" s="151">
        <f t="shared" ca="1" si="17"/>
        <v>112</v>
      </c>
      <c r="O58" s="197" t="str">
        <f t="shared" ca="1" si="18"/>
        <v>Creighton</v>
      </c>
      <c r="P58" s="212" t="e" vm="125">
        <f ca="1">_xlfn.XLOOKUP(O58,Teams!$C:$C,Teams!$E:$E,,0,1)</f>
        <v>#VALUE!</v>
      </c>
      <c r="Q58" s="229" t="s">
        <v>1202</v>
      </c>
      <c r="R58" s="6" t="b">
        <f t="shared" ca="1" si="13"/>
        <v>0</v>
      </c>
      <c r="S58" s="98"/>
    </row>
    <row r="59" spans="1:19" ht="24" customHeight="1" thickBot="1" x14ac:dyDescent="0.3">
      <c r="E59" s="67" t="s">
        <v>10</v>
      </c>
      <c r="F59" s="240" t="str">
        <f>Bracket!I2</f>
        <v>Sweet 16</v>
      </c>
      <c r="G59" s="240"/>
      <c r="H59" s="240"/>
      <c r="I59" s="240"/>
      <c r="J59" s="240"/>
      <c r="K59" s="68"/>
      <c r="L59" s="68"/>
      <c r="M59" s="68"/>
      <c r="N59" s="68"/>
      <c r="O59" s="68" t="s">
        <v>8</v>
      </c>
      <c r="P59" s="68"/>
      <c r="Q59" s="231"/>
      <c r="S59" s="98"/>
    </row>
    <row r="60" spans="1:19" ht="24" customHeight="1" x14ac:dyDescent="0.25">
      <c r="A60" s="91" t="str">
        <f ca="1">G60</f>
        <v>Abilene Christian</v>
      </c>
      <c r="B60" s="91" t="str">
        <f ca="1">I60</f>
        <v>Alcorn State</v>
      </c>
      <c r="C60" s="91" t="str">
        <f t="shared" ref="C60:C67" ca="1" si="21">IF(O60="","",IF(A60=O60,B60,A60))</f>
        <v>Alcorn State</v>
      </c>
      <c r="D60" s="91" t="e">
        <f t="shared" ref="D60:D67" si="22">IF(SeedType=1,0,IF(SeedType=2,VLOOKUP(O60,SeedInfo,2,FALSE)*3,MAX(VLOOKUP(O60,SeedInfo,2,FALSE)-VLOOKUP(C60,SeedInfo,2,FALSE),0)))</f>
        <v>#REF!</v>
      </c>
      <c r="E60" s="92">
        <v>49</v>
      </c>
      <c r="F60" s="93" cm="1">
        <f t="array" aca="1" ref="F60" ca="1">_xlfn.XLOOKUP(G60,Teams[[#All],[Team]],Teams[[#All],[Seed]],0,0,1)</f>
        <v>1</v>
      </c>
      <c r="G60" s="94" t="str">
        <f ca="1">O43</f>
        <v>Abilene Christian</v>
      </c>
      <c r="H60" s="175" t="s">
        <v>9</v>
      </c>
      <c r="I60" s="95" t="str">
        <f ca="1">O44</f>
        <v>Alcorn State</v>
      </c>
      <c r="J60" s="96" cm="1">
        <f t="array" aca="1" ref="J60" ca="1">_xlfn.XLOOKUP(I60,Teams[[#All],[Team]],Teams[[#All],[Seed]],0,0,1)</f>
        <v>13</v>
      </c>
      <c r="K60" s="97" t="e" vm="73">
        <f ca="1">_xlfn.XLOOKUP(G60,Teams!$C:$C,Teams!$E:$E,,0,1)</f>
        <v>#VALUE!</v>
      </c>
      <c r="L60" s="97">
        <f t="shared" ca="1" si="17"/>
        <v>107</v>
      </c>
      <c r="M60" s="97" t="e" vm="80">
        <f ca="1">_xlfn.XLOOKUP(I60,Teams!$C:$C,Teams!$E:$E,,0,1)</f>
        <v>#VALUE!</v>
      </c>
      <c r="N60" s="97">
        <f t="shared" ca="1" si="17"/>
        <v>101</v>
      </c>
      <c r="O60" s="188" t="str">
        <f t="shared" ref="O60:O67" ca="1" si="23">IF(L60&gt;N60,G60,I60)</f>
        <v>Abilene Christian</v>
      </c>
      <c r="P60" s="204" t="e" vm="73">
        <f ca="1">_xlfn.XLOOKUP(O60,Teams!$C:$C,Teams!$E:$E,,0,1)</f>
        <v>#VALUE!</v>
      </c>
      <c r="Q60" s="224" t="s">
        <v>1202</v>
      </c>
      <c r="R60" s="6" t="b">
        <f t="shared" ca="1" si="13"/>
        <v>0</v>
      </c>
      <c r="S60" s="98"/>
    </row>
    <row r="61" spans="1:19" ht="24" customHeight="1" thickBot="1" x14ac:dyDescent="0.3">
      <c r="A61" s="91" t="str">
        <f t="shared" ref="A61:A67" ca="1" si="24">G61</f>
        <v>Arizona State</v>
      </c>
      <c r="B61" s="91" t="str">
        <f t="shared" ref="B61:B67" ca="1" si="25">I61</f>
        <v>Army</v>
      </c>
      <c r="C61" s="91" t="str">
        <f t="shared" ca="1" si="21"/>
        <v>Army</v>
      </c>
      <c r="D61" s="91" t="e">
        <f t="shared" si="22"/>
        <v>#REF!</v>
      </c>
      <c r="E61" s="134">
        <v>50</v>
      </c>
      <c r="F61" s="135" cm="1">
        <f t="array" aca="1" ref="F61" ca="1">_xlfn.XLOOKUP(G61,Teams[[#All],[Team]],Teams[[#All],[Seed]],0,0,1)</f>
        <v>14</v>
      </c>
      <c r="G61" s="136" t="str">
        <f ca="1">O45</f>
        <v>Arizona State</v>
      </c>
      <c r="H61" s="182" t="s">
        <v>9</v>
      </c>
      <c r="I61" s="137" t="str">
        <f ca="1">O46</f>
        <v>Army</v>
      </c>
      <c r="J61" s="138" cm="1">
        <f t="array" aca="1" ref="J61" ca="1">_xlfn.XLOOKUP(I61,Teams[[#All],[Team]],Teams[[#All],[Seed]],0,0,1)</f>
        <v>15</v>
      </c>
      <c r="K61" s="139" t="e" vm="79">
        <f ca="1">_xlfn.XLOOKUP(G61,Teams!$C:$C,Teams!$E:$E,,0,1)</f>
        <v>#VALUE!</v>
      </c>
      <c r="L61" s="139">
        <f t="shared" ca="1" si="17"/>
        <v>115</v>
      </c>
      <c r="M61" s="139" t="e" vm="86">
        <f ca="1">_xlfn.XLOOKUP(I61,Teams!$C:$C,Teams!$E:$E,,0,1)</f>
        <v>#VALUE!</v>
      </c>
      <c r="N61" s="139">
        <f t="shared" ca="1" si="17"/>
        <v>97</v>
      </c>
      <c r="O61" s="195" t="str">
        <f t="shared" ca="1" si="23"/>
        <v>Arizona State</v>
      </c>
      <c r="P61" s="210" t="e" vm="79">
        <f ca="1">_xlfn.XLOOKUP(O61,Teams!$C:$C,Teams!$E:$E,,0,1)</f>
        <v>#VALUE!</v>
      </c>
      <c r="Q61" s="226" t="s">
        <v>1202</v>
      </c>
      <c r="R61" s="6" t="b">
        <f t="shared" ca="1" si="13"/>
        <v>0</v>
      </c>
      <c r="S61" s="98"/>
    </row>
    <row r="62" spans="1:19" ht="24" customHeight="1" x14ac:dyDescent="0.25">
      <c r="A62" s="91" t="str">
        <f t="shared" ca="1" si="24"/>
        <v>Baylor</v>
      </c>
      <c r="B62" s="91" t="str">
        <f t="shared" ca="1" si="25"/>
        <v>Belmont</v>
      </c>
      <c r="C62" s="91" t="str">
        <f t="shared" ca="1" si="21"/>
        <v>Belmont</v>
      </c>
      <c r="D62" s="91" t="e">
        <f t="shared" si="22"/>
        <v>#REF!</v>
      </c>
      <c r="E62" s="140">
        <v>51</v>
      </c>
      <c r="F62" s="236" cm="1">
        <f t="array" aca="1" ref="F62" ca="1">_xlfn.XLOOKUP(G62,Teams[[#All],[Team]],Teams[[#All],[Seed]],0,0,1)</f>
        <v>9</v>
      </c>
      <c r="G62" s="142" t="str">
        <f ca="1">O47</f>
        <v>Baylor</v>
      </c>
      <c r="H62" s="183" t="s">
        <v>9</v>
      </c>
      <c r="I62" s="143" t="str">
        <f ca="1">O48</f>
        <v>Belmont</v>
      </c>
      <c r="J62" s="144" cm="1">
        <f t="array" aca="1" ref="J62" ca="1">_xlfn.XLOOKUP(I62,Teams[[#All],[Team]],Teams[[#All],[Seed]],0,0,1)</f>
        <v>12</v>
      </c>
      <c r="K62" s="145" t="e" vm="90">
        <f ca="1">_xlfn.XLOOKUP(G62,Teams!$C:$C,Teams!$E:$E,,0,1)</f>
        <v>#VALUE!</v>
      </c>
      <c r="L62" s="145">
        <f t="shared" ca="1" si="17"/>
        <v>117</v>
      </c>
      <c r="M62" s="145" t="e" vm="92">
        <f ca="1">_xlfn.XLOOKUP(I62,Teams!$C:$C,Teams!$E:$E,,0,1)</f>
        <v>#VALUE!</v>
      </c>
      <c r="N62" s="145">
        <f t="shared" ca="1" si="17"/>
        <v>92</v>
      </c>
      <c r="O62" s="196" t="str">
        <f t="shared" ca="1" si="23"/>
        <v>Baylor</v>
      </c>
      <c r="P62" s="211" t="e" vm="90">
        <f ca="1">_xlfn.XLOOKUP(O62,Teams!$C:$C,Teams!$E:$E,,0,1)</f>
        <v>#VALUE!</v>
      </c>
      <c r="Q62" s="227" t="s">
        <v>1202</v>
      </c>
      <c r="R62" s="6" t="b">
        <f t="shared" ca="1" si="13"/>
        <v>0</v>
      </c>
      <c r="S62" s="98"/>
    </row>
    <row r="63" spans="1:19" ht="24" customHeight="1" thickBot="1" x14ac:dyDescent="0.3">
      <c r="A63" s="91" t="str">
        <f t="shared" ca="1" si="24"/>
        <v>Boise State</v>
      </c>
      <c r="B63" s="91" t="str">
        <f t="shared" ca="1" si="25"/>
        <v>Bryant</v>
      </c>
      <c r="C63" s="91" t="str">
        <f t="shared" ca="1" si="21"/>
        <v>Boise State</v>
      </c>
      <c r="D63" s="91" t="e">
        <f t="shared" si="22"/>
        <v>#REF!</v>
      </c>
      <c r="E63" s="146">
        <v>52</v>
      </c>
      <c r="F63" s="237" cm="1">
        <f t="array" aca="1" ref="F63" ca="1">_xlfn.XLOOKUP(G63,Teams[[#All],[Team]],Teams[[#All],[Seed]],0,0,1)</f>
        <v>6</v>
      </c>
      <c r="G63" s="148" t="str">
        <f ca="1">O49</f>
        <v>Boise State</v>
      </c>
      <c r="H63" s="184" t="s">
        <v>9</v>
      </c>
      <c r="I63" s="149" t="str">
        <f ca="1">O50</f>
        <v>Bryant</v>
      </c>
      <c r="J63" s="150" cm="1">
        <f t="array" aca="1" ref="J63" ca="1">_xlfn.XLOOKUP(I63,Teams[[#All],[Team]],Teams[[#All],[Seed]],0,0,1)</f>
        <v>15</v>
      </c>
      <c r="K63" s="151" t="e" vm="66">
        <f ca="1">_xlfn.XLOOKUP(G63,Teams!$C:$C,Teams!$E:$E,,0,1)</f>
        <v>#VALUE!</v>
      </c>
      <c r="L63" s="151">
        <f t="shared" ca="1" si="17"/>
        <v>103</v>
      </c>
      <c r="M63" s="151" t="e" vm="94">
        <f ca="1">_xlfn.XLOOKUP(I63,Teams!$C:$C,Teams!$E:$E,,0,1)</f>
        <v>#VALUE!</v>
      </c>
      <c r="N63" s="151">
        <f t="shared" ca="1" si="17"/>
        <v>111</v>
      </c>
      <c r="O63" s="197" t="str">
        <f t="shared" ca="1" si="23"/>
        <v>Bryant</v>
      </c>
      <c r="P63" s="212" t="e" vm="94">
        <f ca="1">_xlfn.XLOOKUP(O63,Teams!$C:$C,Teams!$E:$E,,0,1)</f>
        <v>#VALUE!</v>
      </c>
      <c r="Q63" s="229" t="s">
        <v>1202</v>
      </c>
      <c r="R63" s="6" t="b">
        <f t="shared" ca="1" si="13"/>
        <v>1</v>
      </c>
      <c r="S63" s="98"/>
    </row>
    <row r="64" spans="1:19" ht="24" customHeight="1" x14ac:dyDescent="0.25">
      <c r="A64" s="152" t="str">
        <f t="shared" ca="1" si="24"/>
        <v>Bucknell</v>
      </c>
      <c r="B64" s="152" t="str">
        <f t="shared" ca="1" si="25"/>
        <v>Cal State Northridge</v>
      </c>
      <c r="C64" s="152" t="str">
        <f t="shared" ca="1" si="21"/>
        <v>Cal State Northridge</v>
      </c>
      <c r="D64" s="152" t="e">
        <f t="shared" si="22"/>
        <v>#REF!</v>
      </c>
      <c r="E64" s="129">
        <v>53</v>
      </c>
      <c r="F64" s="130" cm="1">
        <f t="array" aca="1" ref="F64" ca="1">_xlfn.XLOOKUP(G64,Teams[[#All],[Team]],Teams[[#All],[Seed]],0,0,1)</f>
        <v>1</v>
      </c>
      <c r="G64" s="131" t="str">
        <f ca="1">O51</f>
        <v>Bucknell</v>
      </c>
      <c r="H64" s="181" t="s">
        <v>9</v>
      </c>
      <c r="I64" s="132" t="str">
        <f ca="1">O52</f>
        <v>Cal State Northridge</v>
      </c>
      <c r="J64" s="133" cm="1">
        <f t="array" aca="1" ref="J64" ca="1">_xlfn.XLOOKUP(I64,Teams[[#All],[Team]],Teams[[#All],[Seed]],0,0,1)</f>
        <v>4</v>
      </c>
      <c r="K64" s="84" t="e" vm="95">
        <f ca="1">_xlfn.XLOOKUP(G64,Teams!$C:$C,Teams!$E:$E,,0,1)</f>
        <v>#VALUE!</v>
      </c>
      <c r="L64" s="84">
        <f t="shared" ca="1" si="17"/>
        <v>113</v>
      </c>
      <c r="M64" s="84" t="e" vm="101">
        <f ca="1">_xlfn.XLOOKUP(I64,Teams!$C:$C,Teams!$E:$E,,0,1)</f>
        <v>#VALUE!</v>
      </c>
      <c r="N64" s="84">
        <f t="shared" ca="1" si="17"/>
        <v>93</v>
      </c>
      <c r="O64" s="194" t="str">
        <f t="shared" ca="1" si="23"/>
        <v>Bucknell</v>
      </c>
      <c r="P64" s="209" t="e" vm="95">
        <f ca="1">_xlfn.XLOOKUP(O64,Teams!$C:$C,Teams!$E:$E,,0,1)</f>
        <v>#VALUE!</v>
      </c>
      <c r="Q64" s="230" t="s">
        <v>1202</v>
      </c>
      <c r="R64" s="6" t="b">
        <f t="shared" ca="1" si="13"/>
        <v>0</v>
      </c>
      <c r="S64" s="98"/>
    </row>
    <row r="65" spans="1:19" ht="24" customHeight="1" thickBot="1" x14ac:dyDescent="0.3">
      <c r="A65" s="152" t="str">
        <f t="shared" ca="1" si="24"/>
        <v>Central Arkansas</v>
      </c>
      <c r="B65" s="152" t="str">
        <f t="shared" ca="1" si="25"/>
        <v>Charlotte</v>
      </c>
      <c r="C65" s="152" t="str">
        <f t="shared" ca="1" si="21"/>
        <v>Central Arkansas</v>
      </c>
      <c r="D65" s="152" t="e">
        <f t="shared" si="22"/>
        <v>#REF!</v>
      </c>
      <c r="E65" s="134">
        <v>54</v>
      </c>
      <c r="F65" s="135" cm="1">
        <f t="array" aca="1" ref="F65" ca="1">_xlfn.XLOOKUP(G65,Teams[[#All],[Team]],Teams[[#All],[Seed]],0,0,1)</f>
        <v>14</v>
      </c>
      <c r="G65" s="136" t="str">
        <f ca="1">O53</f>
        <v>Central Arkansas</v>
      </c>
      <c r="H65" s="182" t="s">
        <v>9</v>
      </c>
      <c r="I65" s="137" t="str">
        <f ca="1">O54</f>
        <v>Charlotte</v>
      </c>
      <c r="J65" s="138" cm="1">
        <f t="array" aca="1" ref="J65" ca="1">_xlfn.XLOOKUP(I65,Teams[[#All],[Team]],Teams[[#All],[Seed]],0,0,1)</f>
        <v>15</v>
      </c>
      <c r="K65" s="139" t="e" vm="106">
        <f ca="1">_xlfn.XLOOKUP(G65,Teams!$C:$C,Teams!$E:$E,,0,1)</f>
        <v>#VALUE!</v>
      </c>
      <c r="L65" s="139">
        <f t="shared" ca="1" si="17"/>
        <v>91</v>
      </c>
      <c r="M65" s="139" t="e" vm="110">
        <f ca="1">_xlfn.XLOOKUP(I65,Teams!$C:$C,Teams!$E:$E,,0,1)</f>
        <v>#VALUE!</v>
      </c>
      <c r="N65" s="139">
        <f t="shared" ca="1" si="17"/>
        <v>95</v>
      </c>
      <c r="O65" s="195" t="str">
        <f t="shared" ca="1" si="23"/>
        <v>Charlotte</v>
      </c>
      <c r="P65" s="210" t="e" vm="110">
        <f ca="1">_xlfn.XLOOKUP(O65,Teams!$C:$C,Teams!$E:$E,,0,1)</f>
        <v>#VALUE!</v>
      </c>
      <c r="Q65" s="226" t="s">
        <v>1202</v>
      </c>
      <c r="R65" s="6" t="b">
        <f t="shared" ca="1" si="13"/>
        <v>1</v>
      </c>
      <c r="S65" s="98"/>
    </row>
    <row r="66" spans="1:19" ht="24" customHeight="1" x14ac:dyDescent="0.25">
      <c r="A66" s="91" t="str">
        <f t="shared" ca="1" si="24"/>
        <v>Chicago State</v>
      </c>
      <c r="B66" s="91" t="str">
        <f t="shared" ca="1" si="25"/>
        <v>Cleveland State</v>
      </c>
      <c r="C66" s="91" t="str">
        <f t="shared" ca="1" si="21"/>
        <v>Chicago State</v>
      </c>
      <c r="D66" s="91" t="e">
        <f t="shared" si="22"/>
        <v>#REF!</v>
      </c>
      <c r="E66" s="140">
        <v>55</v>
      </c>
      <c r="F66" s="141" cm="1">
        <f t="array" aca="1" ref="F66" ca="1">_xlfn.XLOOKUP(G66,Teams[[#All],[Team]],Teams[[#All],[Seed]],0,0,1)</f>
        <v>16</v>
      </c>
      <c r="G66" s="142" t="str">
        <f ca="1">O55</f>
        <v>Chicago State</v>
      </c>
      <c r="H66" s="183" t="s">
        <v>9</v>
      </c>
      <c r="I66" s="143" t="str">
        <f ca="1">O56</f>
        <v>Cleveland State</v>
      </c>
      <c r="J66" s="144" cm="1">
        <f t="array" aca="1" ref="J66" ca="1">_xlfn.XLOOKUP(I66,Teams[[#All],[Team]],Teams[[#All],[Seed]],0,0,1)</f>
        <v>5</v>
      </c>
      <c r="K66" s="145" t="e" vm="112">
        <f ca="1">_xlfn.XLOOKUP(G66,Teams!$C:$C,Teams!$E:$E,,0,1)</f>
        <v>#VALUE!</v>
      </c>
      <c r="L66" s="145">
        <f t="shared" ca="1" si="17"/>
        <v>99</v>
      </c>
      <c r="M66" s="145" t="e" vm="115">
        <f ca="1">_xlfn.XLOOKUP(I66,Teams!$C:$C,Teams!$E:$E,,0,1)</f>
        <v>#VALUE!</v>
      </c>
      <c r="N66" s="145">
        <f t="shared" ca="1" si="17"/>
        <v>117</v>
      </c>
      <c r="O66" s="196" t="str">
        <f t="shared" ca="1" si="23"/>
        <v>Cleveland State</v>
      </c>
      <c r="P66" s="211" t="e" vm="115">
        <f ca="1">_xlfn.XLOOKUP(O66,Teams!$C:$C,Teams!$E:$E,,0,1)</f>
        <v>#VALUE!</v>
      </c>
      <c r="Q66" s="227" t="s">
        <v>1202</v>
      </c>
      <c r="R66" s="6" t="b">
        <f t="shared" ca="1" si="13"/>
        <v>0</v>
      </c>
      <c r="S66" s="98"/>
    </row>
    <row r="67" spans="1:19" ht="24" customHeight="1" thickBot="1" x14ac:dyDescent="0.3">
      <c r="A67" s="91" t="str">
        <f t="shared" ca="1" si="24"/>
        <v>Connecticut</v>
      </c>
      <c r="B67" s="91" t="str">
        <f t="shared" ca="1" si="25"/>
        <v>Creighton</v>
      </c>
      <c r="C67" s="91" t="str">
        <f t="shared" ca="1" si="21"/>
        <v>Creighton</v>
      </c>
      <c r="D67" s="91" t="e">
        <f t="shared" si="22"/>
        <v>#REF!</v>
      </c>
      <c r="E67" s="146">
        <v>56</v>
      </c>
      <c r="F67" s="147" cm="1">
        <f t="array" aca="1" ref="F67" ca="1">_xlfn.XLOOKUP(G67,Teams[[#All],[Team]],Teams[[#All],[Seed]],0,0,1)</f>
        <v>14</v>
      </c>
      <c r="G67" s="148" t="str">
        <f ca="1">O57</f>
        <v>Connecticut</v>
      </c>
      <c r="H67" s="184" t="s">
        <v>9</v>
      </c>
      <c r="I67" s="149" t="str">
        <f ca="1">O58</f>
        <v>Creighton</v>
      </c>
      <c r="J67" s="150" cm="1">
        <f t="array" aca="1" ref="J67" ca="1">_xlfn.XLOOKUP(I67,Teams[[#All],[Team]],Teams[[#All],[Seed]],0,0,1)</f>
        <v>2</v>
      </c>
      <c r="K67" s="151" t="e" vm="122">
        <f ca="1">_xlfn.XLOOKUP(G67,Teams!$C:$C,Teams!$E:$E,,0,1)</f>
        <v>#VALUE!</v>
      </c>
      <c r="L67" s="151">
        <f t="shared" ca="1" si="17"/>
        <v>116</v>
      </c>
      <c r="M67" s="151" t="e" vm="125">
        <f ca="1">_xlfn.XLOOKUP(I67,Teams!$C:$C,Teams!$E:$E,,0,1)</f>
        <v>#VALUE!</v>
      </c>
      <c r="N67" s="151">
        <f t="shared" ca="1" si="17"/>
        <v>104</v>
      </c>
      <c r="O67" s="197" t="str">
        <f t="shared" ca="1" si="23"/>
        <v>Connecticut</v>
      </c>
      <c r="P67" s="212" t="e" vm="122">
        <f ca="1">_xlfn.XLOOKUP(O67,Teams!$C:$C,Teams!$E:$E,,0,1)</f>
        <v>#VALUE!</v>
      </c>
      <c r="Q67" s="229" t="s">
        <v>1202</v>
      </c>
      <c r="R67" s="6" t="b">
        <f t="shared" ca="1" si="13"/>
        <v>1</v>
      </c>
      <c r="S67" s="98"/>
    </row>
    <row r="68" spans="1:19" ht="24" customHeight="1" thickBot="1" x14ac:dyDescent="0.3">
      <c r="E68" s="67" t="s">
        <v>10</v>
      </c>
      <c r="F68" s="240" t="str">
        <f>Bracket!L2</f>
        <v>Elite 8</v>
      </c>
      <c r="G68" s="240"/>
      <c r="H68" s="240"/>
      <c r="I68" s="240"/>
      <c r="J68" s="240"/>
      <c r="K68" s="68"/>
      <c r="L68" s="68"/>
      <c r="M68" s="68"/>
      <c r="N68" s="68"/>
      <c r="O68" s="68" t="s">
        <v>8</v>
      </c>
      <c r="P68" s="68"/>
      <c r="Q68" s="231"/>
      <c r="S68" s="98"/>
    </row>
    <row r="69" spans="1:19" ht="24" customHeight="1" thickBot="1" x14ac:dyDescent="0.3">
      <c r="A69" s="91" t="str">
        <f ca="1">G69</f>
        <v>Abilene Christian</v>
      </c>
      <c r="B69" s="91" t="str">
        <f ca="1">I69</f>
        <v>Arizona State</v>
      </c>
      <c r="C69" s="91" t="str">
        <f ca="1">IF(O69="","",IF(A69=O69,B69,A69))</f>
        <v>Abilene Christian</v>
      </c>
      <c r="D69" s="91" t="e">
        <f>IF(SeedType=1,0,IF(SeedType=2,VLOOKUP(O69,SeedInfo,2,FALSE)*4,MAX(VLOOKUP(O69,SeedInfo,2,FALSE)-VLOOKUP(C69,SeedInfo,2,FALSE),0)))</f>
        <v>#REF!</v>
      </c>
      <c r="E69" s="153">
        <v>57</v>
      </c>
      <c r="F69" s="154" cm="1">
        <f t="array" aca="1" ref="F69" ca="1">_xlfn.XLOOKUP(G69,Teams[[#All],[Team]],Teams[[#All],[Seed]],0,0,1)</f>
        <v>1</v>
      </c>
      <c r="G69" s="155" t="str">
        <f ca="1">O60</f>
        <v>Abilene Christian</v>
      </c>
      <c r="H69" s="185" t="s">
        <v>9</v>
      </c>
      <c r="I69" s="156" t="str">
        <f ca="1">O61</f>
        <v>Arizona State</v>
      </c>
      <c r="J69" s="157" cm="1">
        <f t="array" aca="1" ref="J69" ca="1">_xlfn.XLOOKUP(I69,Teams[[#All],[Team]],Teams[[#All],[Seed]],0,0,1)</f>
        <v>14</v>
      </c>
      <c r="K69" s="158" t="e" vm="73">
        <f ca="1">_xlfn.XLOOKUP(G69,Teams!$C:$C,Teams!$E:$E,,0,1)</f>
        <v>#VALUE!</v>
      </c>
      <c r="L69" s="158">
        <f t="shared" ca="1" si="17"/>
        <v>90</v>
      </c>
      <c r="M69" s="158" t="e" vm="79">
        <f ca="1">_xlfn.XLOOKUP(I69,Teams!$C:$C,Teams!$E:$E,,0,1)</f>
        <v>#VALUE!</v>
      </c>
      <c r="N69" s="158">
        <f t="shared" ca="1" si="17"/>
        <v>117</v>
      </c>
      <c r="O69" s="198" t="str">
        <f ca="1">IF(L69&gt;N69,G69,I69)</f>
        <v>Arizona State</v>
      </c>
      <c r="P69" s="204" t="e" vm="79">
        <f ca="1">_xlfn.XLOOKUP(O69,Teams!$C:$C,Teams!$E:$E,,0,1)</f>
        <v>#VALUE!</v>
      </c>
      <c r="Q69" s="232" t="s">
        <v>1202</v>
      </c>
      <c r="R69" s="6" t="b">
        <f t="shared" ca="1" si="13"/>
        <v>1</v>
      </c>
      <c r="S69" s="98"/>
    </row>
    <row r="70" spans="1:19" ht="24" customHeight="1" thickBot="1" x14ac:dyDescent="0.3">
      <c r="A70" s="91" t="str">
        <f ca="1">G70</f>
        <v>Baylor</v>
      </c>
      <c r="B70" s="91" t="str">
        <f ca="1">I70</f>
        <v>Bryant</v>
      </c>
      <c r="C70" s="91" t="str">
        <f ca="1">IF(O70="","",IF(A70=O70,B70,A70))</f>
        <v>Bryant</v>
      </c>
      <c r="D70" s="91" t="e">
        <f>IF(SeedType=1,0,IF(SeedType=2,VLOOKUP(O70,SeedInfo,2,FALSE)*4,MAX(VLOOKUP(O70,SeedInfo,2,FALSE)-VLOOKUP(C70,SeedInfo,2,FALSE),0)))</f>
        <v>#REF!</v>
      </c>
      <c r="E70" s="159">
        <v>58</v>
      </c>
      <c r="F70" s="160" cm="1">
        <f t="array" aca="1" ref="F70" ca="1">_xlfn.XLOOKUP(G70,Teams[[#All],[Team]],Teams[[#All],[Seed]],0,0,1)</f>
        <v>9</v>
      </c>
      <c r="G70" s="161" t="str">
        <f ca="1">O62</f>
        <v>Baylor</v>
      </c>
      <c r="H70" s="186" t="s">
        <v>9</v>
      </c>
      <c r="I70" s="162" t="str">
        <f ca="1">O63</f>
        <v>Bryant</v>
      </c>
      <c r="J70" s="163" cm="1">
        <f t="array" aca="1" ref="J70" ca="1">_xlfn.XLOOKUP(I70,Teams[[#All],[Team]],Teams[[#All],[Seed]],0,0,1)</f>
        <v>15</v>
      </c>
      <c r="K70" s="164" t="e" vm="90">
        <f ca="1">_xlfn.XLOOKUP(G70,Teams!$C:$C,Teams!$E:$E,,0,1)</f>
        <v>#VALUE!</v>
      </c>
      <c r="L70" s="164">
        <f t="shared" ca="1" si="17"/>
        <v>112</v>
      </c>
      <c r="M70" s="164" t="e" vm="94">
        <f ca="1">_xlfn.XLOOKUP(I70,Teams!$C:$C,Teams!$E:$E,,0,1)</f>
        <v>#VALUE!</v>
      </c>
      <c r="N70" s="164">
        <f t="shared" ca="1" si="17"/>
        <v>105</v>
      </c>
      <c r="O70" s="199" t="str">
        <f ca="1">IF(L70&gt;N70,G70,I70)</f>
        <v>Baylor</v>
      </c>
      <c r="P70" s="207" t="e" vm="90">
        <f ca="1">_xlfn.XLOOKUP(O70,Teams!$C:$C,Teams!$E:$E,,0,1)</f>
        <v>#VALUE!</v>
      </c>
      <c r="Q70" s="233" t="s">
        <v>1202</v>
      </c>
      <c r="R70" s="6" t="b">
        <f t="shared" ca="1" si="13"/>
        <v>0</v>
      </c>
      <c r="S70" s="98"/>
    </row>
    <row r="71" spans="1:19" ht="24" customHeight="1" thickBot="1" x14ac:dyDescent="0.3">
      <c r="A71" s="91" t="str">
        <f ca="1">G71</f>
        <v>Bucknell</v>
      </c>
      <c r="B71" s="91" t="str">
        <f ca="1">I71</f>
        <v>Charlotte</v>
      </c>
      <c r="C71" s="91" t="str">
        <f ca="1">IF(O71="","",IF(A71=O71,B71,A71))</f>
        <v>Charlotte</v>
      </c>
      <c r="D71" s="91" t="e">
        <f>IF(SeedType=1,0,IF(SeedType=2,VLOOKUP(O71,SeedInfo,2,FALSE)*4,MAX(VLOOKUP(O71,SeedInfo,2,FALSE)-VLOOKUP(C71,SeedInfo,2,FALSE),0)))</f>
        <v>#REF!</v>
      </c>
      <c r="E71" s="153">
        <v>59</v>
      </c>
      <c r="F71" s="154" cm="1">
        <f t="array" aca="1" ref="F71" ca="1">_xlfn.XLOOKUP(G71,Teams[[#All],[Team]],Teams[[#All],[Seed]],0,0,1)</f>
        <v>1</v>
      </c>
      <c r="G71" s="155" t="str">
        <f ca="1">O64</f>
        <v>Bucknell</v>
      </c>
      <c r="H71" s="185" t="s">
        <v>9</v>
      </c>
      <c r="I71" s="156" t="str">
        <f ca="1">O65</f>
        <v>Charlotte</v>
      </c>
      <c r="J71" s="157" cm="1">
        <f t="array" aca="1" ref="J71" ca="1">_xlfn.XLOOKUP(I71,Teams[[#All],[Team]],Teams[[#All],[Seed]],0,0,1)</f>
        <v>15</v>
      </c>
      <c r="K71" s="158" t="e" vm="95">
        <f ca="1">_xlfn.XLOOKUP(G71,Teams!$C:$C,Teams!$E:$E,,0,1)</f>
        <v>#VALUE!</v>
      </c>
      <c r="L71" s="158">
        <f t="shared" ca="1" si="17"/>
        <v>113</v>
      </c>
      <c r="M71" s="158" t="e" vm="110">
        <f ca="1">_xlfn.XLOOKUP(I71,Teams!$C:$C,Teams!$E:$E,,0,1)</f>
        <v>#VALUE!</v>
      </c>
      <c r="N71" s="158">
        <f t="shared" ca="1" si="17"/>
        <v>112</v>
      </c>
      <c r="O71" s="198" t="str">
        <f ca="1">IF(L71&gt;N71,G71,I71)</f>
        <v>Bucknell</v>
      </c>
      <c r="P71" s="204" t="e" vm="95">
        <f ca="1">_xlfn.XLOOKUP(O71,Teams!$C:$C,Teams!$E:$E,,0,1)</f>
        <v>#VALUE!</v>
      </c>
      <c r="Q71" s="234" t="s">
        <v>1202</v>
      </c>
      <c r="R71" s="6" t="b">
        <f t="shared" ca="1" si="13"/>
        <v>0</v>
      </c>
      <c r="S71" s="98"/>
    </row>
    <row r="72" spans="1:19" ht="24" customHeight="1" thickBot="1" x14ac:dyDescent="0.3">
      <c r="A72" s="91" t="str">
        <f ca="1">G72</f>
        <v>Cleveland State</v>
      </c>
      <c r="B72" s="91" t="str">
        <f ca="1">I72</f>
        <v>Connecticut</v>
      </c>
      <c r="C72" s="91" t="str">
        <f ca="1">IF(O72="","",IF(A72=O72,B72,A72))</f>
        <v>Connecticut</v>
      </c>
      <c r="D72" s="91" t="e">
        <f>IF(SeedType=1,0,IF(SeedType=2,VLOOKUP(O72,SeedInfo,2,FALSE)*4,MAX(VLOOKUP(O72,SeedInfo,2,FALSE)-VLOOKUP(C72,SeedInfo,2,FALSE),0)))</f>
        <v>#REF!</v>
      </c>
      <c r="E72" s="159">
        <v>60</v>
      </c>
      <c r="F72" s="160" cm="1">
        <f t="array" aca="1" ref="F72" ca="1">_xlfn.XLOOKUP(G72,Teams[[#All],[Team]],Teams[[#All],[Seed]],0,0,1)</f>
        <v>5</v>
      </c>
      <c r="G72" s="161" t="str">
        <f ca="1">O66</f>
        <v>Cleveland State</v>
      </c>
      <c r="H72" s="186" t="s">
        <v>9</v>
      </c>
      <c r="I72" s="162" t="str">
        <f ca="1">O67</f>
        <v>Connecticut</v>
      </c>
      <c r="J72" s="163" cm="1">
        <f t="array" aca="1" ref="J72" ca="1">_xlfn.XLOOKUP(I72,Teams[[#All],[Team]],Teams[[#All],[Seed]],0,0,1)</f>
        <v>14</v>
      </c>
      <c r="K72" s="164" t="e" vm="115">
        <f ca="1">_xlfn.XLOOKUP(G72,Teams!$C:$C,Teams!$E:$E,,0,1)</f>
        <v>#VALUE!</v>
      </c>
      <c r="L72" s="164">
        <f t="shared" ca="1" si="17"/>
        <v>96</v>
      </c>
      <c r="M72" s="164" t="e" vm="122">
        <f ca="1">_xlfn.XLOOKUP(I72,Teams!$C:$C,Teams!$E:$E,,0,1)</f>
        <v>#VALUE!</v>
      </c>
      <c r="N72" s="164">
        <f t="shared" ca="1" si="17"/>
        <v>93</v>
      </c>
      <c r="O72" s="199" t="str">
        <f ca="1">IF(L72&gt;N72,G72,I72)</f>
        <v>Cleveland State</v>
      </c>
      <c r="P72" s="207" t="e" vm="115">
        <f ca="1">_xlfn.XLOOKUP(O72,Teams!$C:$C,Teams!$E:$E,,0,1)</f>
        <v>#VALUE!</v>
      </c>
      <c r="Q72" s="233" t="s">
        <v>1202</v>
      </c>
      <c r="R72" s="6" t="b">
        <f t="shared" ca="1" si="13"/>
        <v>0</v>
      </c>
      <c r="S72" s="98"/>
    </row>
    <row r="73" spans="1:19" ht="24" customHeight="1" thickBot="1" x14ac:dyDescent="0.3">
      <c r="E73" s="67" t="s">
        <v>10</v>
      </c>
      <c r="F73" s="240" t="str">
        <f>Bracket!O2</f>
        <v>Final Four</v>
      </c>
      <c r="G73" s="240"/>
      <c r="H73" s="240"/>
      <c r="I73" s="240"/>
      <c r="J73" s="240"/>
      <c r="K73" s="68"/>
      <c r="L73" s="68"/>
      <c r="M73" s="68"/>
      <c r="N73" s="68"/>
      <c r="O73" s="68" t="s">
        <v>8</v>
      </c>
      <c r="P73" s="68"/>
      <c r="Q73" s="231"/>
      <c r="S73" s="98"/>
    </row>
    <row r="74" spans="1:19" ht="24" customHeight="1" thickBot="1" x14ac:dyDescent="0.3">
      <c r="A74" s="91" t="str">
        <f ca="1">G74</f>
        <v>Arizona State</v>
      </c>
      <c r="B74" s="91" t="str">
        <f ca="1">I74</f>
        <v>Baylor</v>
      </c>
      <c r="C74" s="91" t="str">
        <f ca="1">IF(O74="","",IF(A74=O74,B74,A74))</f>
        <v>Arizona State</v>
      </c>
      <c r="D74" s="91" t="e">
        <f>IF(SeedType=1,0,IF(SeedType=2,VLOOKUP(O74,SeedInfo,2,FALSE)*5,MAX(VLOOKUP(O74,SeedInfo,2,FALSE)-VLOOKUP(C74,SeedInfo,2,FALSE),0)))</f>
        <v>#REF!</v>
      </c>
      <c r="E74" s="165">
        <v>61</v>
      </c>
      <c r="F74" s="166" cm="1">
        <f t="array" aca="1" ref="F74" ca="1">_xlfn.XLOOKUP(G74,Teams[[#All],[Team]],Teams[[#All],[Seed]],0,0,1)</f>
        <v>14</v>
      </c>
      <c r="G74" s="167" t="str">
        <f ca="1">O69</f>
        <v>Arizona State</v>
      </c>
      <c r="H74" s="187" t="s">
        <v>9</v>
      </c>
      <c r="I74" s="168" t="str">
        <f ca="1">O70</f>
        <v>Baylor</v>
      </c>
      <c r="J74" s="169" cm="1">
        <f t="array" aca="1" ref="J74" ca="1">_xlfn.XLOOKUP(I74,Teams[[#All],[Team]],Teams[[#All],[Seed]],0,0,1)</f>
        <v>9</v>
      </c>
      <c r="K74" s="170" t="e" vm="79">
        <f ca="1">_xlfn.XLOOKUP(G74,Teams!$C:$C,Teams!$E:$E,,0,1)</f>
        <v>#VALUE!</v>
      </c>
      <c r="L74" s="170">
        <f t="shared" ca="1" si="17"/>
        <v>96</v>
      </c>
      <c r="M74" s="170" t="e" vm="90">
        <f ca="1">_xlfn.XLOOKUP(I74,Teams!$C:$C,Teams!$E:$E,,0,1)</f>
        <v>#VALUE!</v>
      </c>
      <c r="N74" s="170">
        <f t="shared" ca="1" si="17"/>
        <v>106</v>
      </c>
      <c r="O74" s="200" t="str">
        <f ca="1">IF(L74&gt;N74,G74,I74)</f>
        <v>Baylor</v>
      </c>
      <c r="P74" s="210" t="e" vm="90">
        <f ca="1">_xlfn.XLOOKUP(O74,Teams!$C:$C,Teams!$E:$E,,0,1)</f>
        <v>#VALUE!</v>
      </c>
      <c r="Q74" s="232" t="s">
        <v>1202</v>
      </c>
      <c r="R74" s="6" t="b">
        <f t="shared" ca="1" si="13"/>
        <v>0</v>
      </c>
      <c r="S74" s="98"/>
    </row>
    <row r="75" spans="1:19" ht="24" customHeight="1" thickBot="1" x14ac:dyDescent="0.3">
      <c r="A75" s="91" t="str">
        <f ca="1">G75</f>
        <v>Bucknell</v>
      </c>
      <c r="B75" s="91" t="str">
        <f ca="1">I75</f>
        <v>Cleveland State</v>
      </c>
      <c r="C75" s="91" t="str">
        <f ca="1">IF(O75="","",IF(A75=O75,B75,A75))</f>
        <v>Bucknell</v>
      </c>
      <c r="D75" s="91" t="e">
        <f>IF(SeedType=1,0,IF(SeedType=2,VLOOKUP(O75,SeedInfo,2,FALSE)*5,MAX(VLOOKUP(O75,SeedInfo,2,FALSE)-VLOOKUP(C75,SeedInfo,2,FALSE),0)))</f>
        <v>#REF!</v>
      </c>
      <c r="E75" s="159">
        <v>62</v>
      </c>
      <c r="F75" s="160" cm="1">
        <f t="array" aca="1" ref="F75" ca="1">_xlfn.XLOOKUP(G75,Teams[[#All],[Team]],Teams[[#All],[Seed]],0,0,1)</f>
        <v>1</v>
      </c>
      <c r="G75" s="161" t="str">
        <f ca="1">O71</f>
        <v>Bucknell</v>
      </c>
      <c r="H75" s="186" t="s">
        <v>9</v>
      </c>
      <c r="I75" s="162" t="str">
        <f ca="1">O72</f>
        <v>Cleveland State</v>
      </c>
      <c r="J75" s="163" cm="1">
        <f t="array" aca="1" ref="J75" ca="1">_xlfn.XLOOKUP(I75,Teams[[#All],[Team]],Teams[[#All],[Seed]],0,0,1)</f>
        <v>5</v>
      </c>
      <c r="K75" s="164" t="e" vm="95">
        <f ca="1">_xlfn.XLOOKUP(G75,Teams!$C:$C,Teams!$E:$E,,0,1)</f>
        <v>#VALUE!</v>
      </c>
      <c r="L75" s="164">
        <f t="shared" ca="1" si="17"/>
        <v>98</v>
      </c>
      <c r="M75" s="164" t="e" vm="115">
        <f ca="1">_xlfn.XLOOKUP(I75,Teams!$C:$C,Teams!$E:$E,,0,1)</f>
        <v>#VALUE!</v>
      </c>
      <c r="N75" s="164">
        <f t="shared" ca="1" si="17"/>
        <v>116</v>
      </c>
      <c r="O75" s="199" t="str">
        <f ca="1">IF(L75&gt;N75,G75,I75)</f>
        <v>Cleveland State</v>
      </c>
      <c r="P75" s="213" t="e" vm="115">
        <f ca="1">_xlfn.XLOOKUP(O75,Teams!$C:$C,Teams!$E:$E,,0,1)</f>
        <v>#VALUE!</v>
      </c>
      <c r="Q75" s="233" t="s">
        <v>1202</v>
      </c>
      <c r="R75" s="6" t="b">
        <f t="shared" ref="R75:R77" ca="1" si="26">IF(
O75=G75,
IF(F75&gt;J75,TRUE,FALSE),
IF(J75&gt;F75,TRUE,FALSE))</f>
        <v>1</v>
      </c>
      <c r="S75" s="98"/>
    </row>
    <row r="76" spans="1:19" ht="24" customHeight="1" thickBot="1" x14ac:dyDescent="0.3">
      <c r="A76" s="171"/>
      <c r="B76" s="171"/>
      <c r="C76" s="171"/>
      <c r="D76" s="171"/>
      <c r="E76" s="67" t="s">
        <v>10</v>
      </c>
      <c r="F76" s="240" t="str">
        <f>Bracket!S2</f>
        <v>Championship</v>
      </c>
      <c r="G76" s="240"/>
      <c r="H76" s="240"/>
      <c r="I76" s="240"/>
      <c r="J76" s="240"/>
      <c r="K76" s="68"/>
      <c r="L76" s="68"/>
      <c r="M76" s="68"/>
      <c r="N76" s="68"/>
      <c r="O76" s="68" t="s">
        <v>8</v>
      </c>
      <c r="P76" s="68"/>
      <c r="Q76" s="231"/>
      <c r="S76" s="98"/>
    </row>
    <row r="77" spans="1:19" ht="24" customHeight="1" thickBot="1" x14ac:dyDescent="0.3">
      <c r="A77" s="91" t="str">
        <f ca="1">G77</f>
        <v>Baylor</v>
      </c>
      <c r="B77" s="91" t="str">
        <f ca="1">I77</f>
        <v>Cleveland State</v>
      </c>
      <c r="C77" s="91" t="str">
        <f ca="1">IF(O77="","",IF(A77=O77,B77,A77))</f>
        <v>Cleveland State</v>
      </c>
      <c r="D77" s="91" t="e">
        <f>IF(SeedType=1,0,IF(SeedType=2,VLOOKUP(O77,SeedInfo,2,FALSE)*6,MAX(VLOOKUP(O77,SeedInfo,2,FALSE)-VLOOKUP(C77,SeedInfo,2,FALSE),0)))</f>
        <v>#REF!</v>
      </c>
      <c r="E77" s="153">
        <v>63</v>
      </c>
      <c r="F77" s="154" cm="1">
        <f t="array" aca="1" ref="F77" ca="1">_xlfn.XLOOKUP(G77,Teams[[#All],[Team]],Teams[[#All],[Seed]],0,0,1)</f>
        <v>9</v>
      </c>
      <c r="G77" s="155" t="str">
        <f ca="1">O74</f>
        <v>Baylor</v>
      </c>
      <c r="H77" s="185" t="s">
        <v>9</v>
      </c>
      <c r="I77" s="156" t="str">
        <f ca="1">O75</f>
        <v>Cleveland State</v>
      </c>
      <c r="J77" s="157" cm="1">
        <f t="array" aca="1" ref="J77" ca="1">_xlfn.XLOOKUP(I77,Teams[[#All],[Team]],Teams[[#All],[Seed]],0,0,1)</f>
        <v>5</v>
      </c>
      <c r="K77" s="158" t="e" vm="90">
        <f ca="1">_xlfn.XLOOKUP(G77,Teams!$C:$C,Teams!$E:$E,,0,1)</f>
        <v>#VALUE!</v>
      </c>
      <c r="L77" s="158">
        <f t="shared" ca="1" si="17"/>
        <v>100</v>
      </c>
      <c r="M77" s="158" t="e" vm="115">
        <f ca="1">_xlfn.XLOOKUP(I77,Teams!$C:$C,Teams!$E:$E,,0,1)</f>
        <v>#VALUE!</v>
      </c>
      <c r="N77" s="158">
        <f t="shared" ca="1" si="17"/>
        <v>99</v>
      </c>
      <c r="O77" s="198" t="str">
        <f ca="1">IF(L77&gt;N77,G77,I77)</f>
        <v>Baylor</v>
      </c>
      <c r="P77" s="205" t="e" vm="90">
        <f ca="1">_xlfn.XLOOKUP(O77,Teams!$C:$C,Teams!$E:$E,,0,1)</f>
        <v>#VALUE!</v>
      </c>
      <c r="Q77" s="235" t="s">
        <v>1202</v>
      </c>
      <c r="R77" s="6" t="b">
        <f t="shared" ca="1" si="26"/>
        <v>1</v>
      </c>
      <c r="S77" s="98"/>
    </row>
    <row r="78" spans="1:19" x14ac:dyDescent="0.25"/>
    <row r="79" spans="1:19" x14ac:dyDescent="0.25"/>
    <row r="80" spans="1:19" x14ac:dyDescent="0.25"/>
  </sheetData>
  <mergeCells count="14">
    <mergeCell ref="Q3:Q4"/>
    <mergeCell ref="F76:J76"/>
    <mergeCell ref="O3:O4"/>
    <mergeCell ref="E3:E4"/>
    <mergeCell ref="F3:F4"/>
    <mergeCell ref="J3:J4"/>
    <mergeCell ref="G3:I4"/>
    <mergeCell ref="F42:J42"/>
    <mergeCell ref="F59:J59"/>
    <mergeCell ref="F68:J68"/>
    <mergeCell ref="F73:J73"/>
    <mergeCell ref="K3:L4"/>
    <mergeCell ref="M3:N4"/>
    <mergeCell ref="F9:J9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topLeftCell="A9" zoomScale="70" zoomScaleNormal="70" workbookViewId="0">
      <selection activeCell="P57" sqref="P57:S5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2" t="s">
        <v>20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4" t="s">
        <v>2</v>
      </c>
      <c r="T2" s="284"/>
      <c r="U2" s="284"/>
      <c r="V2" s="284"/>
      <c r="W2" s="284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8"/>
    </row>
    <row r="5" spans="1:47" ht="18.600000000000001" customHeight="1" thickBot="1" x14ac:dyDescent="0.35">
      <c r="A5" s="16"/>
      <c r="B5" s="27">
        <v>1</v>
      </c>
      <c r="C5" s="36" t="str">
        <f>Games!G10</f>
        <v>Abilene Christian</v>
      </c>
      <c r="D5" s="70" t="e" vm="73">
        <f>_xlfn.XLOOKUP(C5,Teams!$C:$C,Teams!$E:$E,,0,1)</f>
        <v>#VALUE!</v>
      </c>
      <c r="E5" s="46">
        <f ca="1">Games!L10</f>
        <v>115</v>
      </c>
      <c r="F5" s="259" t="str">
        <f ca="1">Games!O10</f>
        <v>Abilene Christian</v>
      </c>
      <c r="G5" s="262" t="e" vm="73">
        <f ca="1">_xlfn.XLOOKUP(F5,Teams!$C:$C,Teams!$E:$E,,0,1)</f>
        <v>#VALUE!</v>
      </c>
      <c r="H5" s="283">
        <f ca="1">Games!L43</f>
        <v>113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4">
        <f ca="1">Games!L51</f>
        <v>93</v>
      </c>
      <c r="AI5" s="250" t="e" vm="95">
        <f ca="1">_xlfn.XLOOKUP(AJ5,Teams!$C:$C,Teams!$E:$E,,0,1)</f>
        <v>#VALUE!</v>
      </c>
      <c r="AJ5" s="259" t="str">
        <f ca="1">Games!O26</f>
        <v>Bucknell</v>
      </c>
      <c r="AK5" s="58">
        <f ca="1">Games!L26</f>
        <v>118</v>
      </c>
      <c r="AL5" s="46" t="e" vm="95">
        <f>_xlfn.XLOOKUP(AM5,Teams!$C:$C,Teams!$E:$E,,0,1)</f>
        <v>#VALUE!</v>
      </c>
      <c r="AM5" s="37" t="str">
        <f>Games!G26</f>
        <v>Bucknell</v>
      </c>
      <c r="AN5" s="27">
        <v>1</v>
      </c>
      <c r="AO5" s="17"/>
      <c r="AQ5" s="278"/>
      <c r="AU5" s="2" t="b">
        <f>IF(AP29="x",TRUE,FALSE)</f>
        <v>1</v>
      </c>
    </row>
    <row r="6" spans="1:47" ht="10.5" customHeight="1" thickBot="1" x14ac:dyDescent="0.35">
      <c r="A6" s="258">
        <f>IF($AU$5=TRUE,1,"")</f>
        <v>1</v>
      </c>
      <c r="B6" s="28"/>
      <c r="C6" s="38"/>
      <c r="D6" s="71"/>
      <c r="E6" s="47"/>
      <c r="F6" s="260"/>
      <c r="G6" s="263"/>
      <c r="H6" s="25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5"/>
      <c r="AI6" s="251"/>
      <c r="AJ6" s="260"/>
      <c r="AK6" s="55"/>
      <c r="AM6" s="39"/>
      <c r="AN6" s="28"/>
      <c r="AO6" s="280">
        <f>IF($AU$5=TRUE,A66+1,"")</f>
        <v>17</v>
      </c>
      <c r="AQ6" s="278"/>
    </row>
    <row r="7" spans="1:47" ht="13.8" customHeight="1" thickBot="1" x14ac:dyDescent="0.35">
      <c r="A7" s="258"/>
      <c r="B7" s="27">
        <v>16</v>
      </c>
      <c r="C7" s="40" t="str">
        <f>Games!I10</f>
        <v>Air Force</v>
      </c>
      <c r="D7" s="70" t="e" vm="74">
        <f>_xlfn.XLOOKUP(C7,Teams!$C:$C,Teams!$E:$E,,0,1)</f>
        <v>#VALUE!</v>
      </c>
      <c r="E7" s="48">
        <f ca="1">Games!N10</f>
        <v>111</v>
      </c>
      <c r="F7" s="279">
        <f>IF($AU$5=TRUE,AO66+1,"")</f>
        <v>33</v>
      </c>
      <c r="G7" s="14"/>
      <c r="H7" s="49"/>
      <c r="I7" s="266" t="str">
        <f ca="1">Games!O43</f>
        <v>Abilene Christian</v>
      </c>
      <c r="J7" s="262" t="e" vm="73">
        <f ca="1">_xlfn.XLOOKUP(I7,Teams!$C:$C,Teams!$E:$E,,0,1)</f>
        <v>#VALUE!</v>
      </c>
      <c r="K7" s="254">
        <f ca="1">Games!L60</f>
        <v>107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4">
        <f ca="1">Games!L64</f>
        <v>113</v>
      </c>
      <c r="AF7" s="250" t="e" vm="95">
        <f ca="1">_xlfn.XLOOKUP(AG7,Teams!$C:$C,Teams!$E:$E,,0,1)</f>
        <v>#VALUE!</v>
      </c>
      <c r="AG7" s="259" t="str">
        <f ca="1">Games!O51</f>
        <v>Bucknell</v>
      </c>
      <c r="AH7" s="55"/>
      <c r="AI7" s="51"/>
      <c r="AJ7" s="279">
        <f>IF($AU$5=TRUE,F63+1,"")</f>
        <v>41</v>
      </c>
      <c r="AK7" s="59">
        <f ca="1">Games!N26</f>
        <v>98</v>
      </c>
      <c r="AL7" s="46" t="e" vm="96">
        <f>_xlfn.XLOOKUP(AM7,Teams!$C:$C,Teams!$E:$E,,0,1)</f>
        <v>#VALUE!</v>
      </c>
      <c r="AM7" s="37" t="str">
        <f>Games!I26</f>
        <v>Buffalo</v>
      </c>
      <c r="AN7" s="27">
        <v>16</v>
      </c>
      <c r="AO7" s="280"/>
      <c r="AQ7" s="278"/>
    </row>
    <row r="8" spans="1:47" ht="10.199999999999999" customHeight="1" thickBot="1" x14ac:dyDescent="0.35">
      <c r="A8" s="16"/>
      <c r="B8" s="28"/>
      <c r="C8" s="38"/>
      <c r="D8" s="71"/>
      <c r="F8" s="258"/>
      <c r="G8" s="15"/>
      <c r="H8" s="50"/>
      <c r="I8" s="267"/>
      <c r="J8" s="263"/>
      <c r="K8" s="25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5"/>
      <c r="AF8" s="251"/>
      <c r="AG8" s="260"/>
      <c r="AH8" s="56"/>
      <c r="AJ8" s="258"/>
      <c r="AM8" s="39"/>
      <c r="AN8" s="28"/>
      <c r="AO8" s="17"/>
      <c r="AQ8" s="278"/>
    </row>
    <row r="9" spans="1:47" ht="18.600000000000001" customHeight="1" thickBot="1" x14ac:dyDescent="0.35">
      <c r="A9" s="16"/>
      <c r="B9" s="27">
        <v>8</v>
      </c>
      <c r="C9" s="36" t="str">
        <f>Games!G11</f>
        <v>Akron</v>
      </c>
      <c r="D9" s="70" t="e" vm="75">
        <f>_xlfn.XLOOKUP(C9,Teams!$C:$C,Teams!$E:$E,,0,1)</f>
        <v>#VALUE!</v>
      </c>
      <c r="E9" s="46">
        <f ca="1">Games!L11</f>
        <v>97</v>
      </c>
      <c r="F9" s="259" t="str">
        <f ca="1">Games!O11</f>
        <v>Alabama</v>
      </c>
      <c r="G9" s="262" t="e" vm="76">
        <f ca="1">_xlfn.XLOOKUP(F9,Teams!$C:$C,Teams!$E:$E,,0,1)</f>
        <v>#VALUE!</v>
      </c>
      <c r="H9" s="272">
        <f ca="1">Games!N43</f>
        <v>109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6">
        <f ca="1">Games!N51</f>
        <v>90</v>
      </c>
      <c r="AI9" s="250" t="e" vm="97">
        <f ca="1">_xlfn.XLOOKUP(AJ9,Teams!$C:$C,Teams!$E:$E,,0,1)</f>
        <v>#VALUE!</v>
      </c>
      <c r="AJ9" s="259" t="str">
        <f ca="1">Games!O27</f>
        <v>Butler</v>
      </c>
      <c r="AK9" s="58">
        <f ca="1">Games!L27</f>
        <v>109</v>
      </c>
      <c r="AL9" s="46" t="e" vm="97">
        <f>_xlfn.XLOOKUP(AM9,Teams!$C:$C,Teams!$E:$E,,0,1)</f>
        <v>#VALUE!</v>
      </c>
      <c r="AM9" s="37" t="str">
        <f>Games!G27</f>
        <v>Butler</v>
      </c>
      <c r="AN9" s="27">
        <v>8</v>
      </c>
      <c r="AO9" s="17"/>
      <c r="AQ9" s="278"/>
    </row>
    <row r="10" spans="1:47" ht="10.5" customHeight="1" thickBot="1" x14ac:dyDescent="0.35">
      <c r="A10" s="281">
        <f>IF($AU$5=TRUE,A6+1,"")</f>
        <v>2</v>
      </c>
      <c r="B10" s="28"/>
      <c r="C10" s="38"/>
      <c r="D10" s="71"/>
      <c r="E10" s="47"/>
      <c r="F10" s="260"/>
      <c r="G10" s="263"/>
      <c r="H10" s="273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7"/>
      <c r="AI10" s="251"/>
      <c r="AJ10" s="260"/>
      <c r="AK10" s="55"/>
      <c r="AM10" s="39"/>
      <c r="AN10" s="28"/>
      <c r="AO10" s="280">
        <f>IF($AU$5=TRUE,AO6+1,"")</f>
        <v>18</v>
      </c>
      <c r="AQ10" s="278"/>
    </row>
    <row r="11" spans="1:47" ht="13.8" customHeight="1" thickBot="1" x14ac:dyDescent="0.35">
      <c r="A11" s="281"/>
      <c r="B11" s="27">
        <v>9</v>
      </c>
      <c r="C11" s="36" t="str">
        <f>Games!I11</f>
        <v>Alabama</v>
      </c>
      <c r="D11" s="70" t="e" vm="76">
        <f>_xlfn.XLOOKUP(C11,Teams!$C:$C,Teams!$E:$E,,0,1)</f>
        <v>#VALUE!</v>
      </c>
      <c r="E11" s="48">
        <f ca="1">Games!N11</f>
        <v>120</v>
      </c>
      <c r="F11" s="24"/>
      <c r="G11" s="24"/>
      <c r="I11" s="258">
        <f>IF($AU$5=TRUE,AJ63+1,"")</f>
        <v>49</v>
      </c>
      <c r="J11" s="15"/>
      <c r="K11" s="50"/>
      <c r="L11" s="266" t="str">
        <f ca="1">Games!O60</f>
        <v>Abilene Christian</v>
      </c>
      <c r="M11" s="262" t="e" vm="73">
        <f ca="1">_xlfn.XLOOKUP(L11,Teams!$C:$C,Teams!$E:$E,,0,1)</f>
        <v>#VALUE!</v>
      </c>
      <c r="N11" s="254">
        <f ca="1">Games!L69</f>
        <v>90</v>
      </c>
      <c r="O11" s="25"/>
      <c r="P11" s="25"/>
      <c r="R11" s="25"/>
      <c r="S11" s="25"/>
      <c r="T11" s="285" t="e" vm="90">
        <f ca="1">_xlfn.XLOOKUP(S32,Teams!$C:$C,Teams!$E:$E,,0,1)</f>
        <v>#VALUE!</v>
      </c>
      <c r="U11" s="286"/>
      <c r="V11" s="287"/>
      <c r="W11" s="25"/>
      <c r="X11" s="25"/>
      <c r="AA11" s="25"/>
      <c r="AB11" s="254">
        <f ca="1">Games!L71</f>
        <v>113</v>
      </c>
      <c r="AC11" s="252" t="e" vm="95">
        <f ca="1">_xlfn.XLOOKUP(AD11,Teams!$C:$C,Teams!$E:$E,,0,1)</f>
        <v>#VALUE!</v>
      </c>
      <c r="AD11" s="259" t="str">
        <f ca="1">Games!O64</f>
        <v>Bucknell</v>
      </c>
      <c r="AE11" s="56"/>
      <c r="AG11" s="258">
        <f>IF($AU$5=TRUE,I59+1,"")</f>
        <v>53</v>
      </c>
      <c r="AJ11" s="24"/>
      <c r="AK11" s="59">
        <f ca="1">Games!N27</f>
        <v>92</v>
      </c>
      <c r="AL11" s="46" t="e" vm="98">
        <f>_xlfn.XLOOKUP(AM11,Teams!$C:$C,Teams!$E:$E,,0,1)</f>
        <v>#VALUE!</v>
      </c>
      <c r="AM11" s="37" t="str">
        <f>Games!I27</f>
        <v>Cal Poly</v>
      </c>
      <c r="AN11" s="27">
        <v>9</v>
      </c>
      <c r="AO11" s="280"/>
      <c r="AQ11" s="27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8"/>
      <c r="J12" s="15"/>
      <c r="K12" s="50"/>
      <c r="L12" s="267"/>
      <c r="M12" s="263"/>
      <c r="N12" s="255"/>
      <c r="O12" s="25"/>
      <c r="P12" s="25"/>
      <c r="R12" s="25"/>
      <c r="S12" s="25"/>
      <c r="T12" s="288"/>
      <c r="U12" s="289"/>
      <c r="V12" s="290"/>
      <c r="W12" s="25"/>
      <c r="X12" s="25"/>
      <c r="AA12" s="25"/>
      <c r="AB12" s="255"/>
      <c r="AC12" s="253"/>
      <c r="AD12" s="260"/>
      <c r="AE12" s="56"/>
      <c r="AG12" s="258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Games!G12</f>
        <v>Alabama A&amp;M</v>
      </c>
      <c r="D13" s="70" t="e" vm="77">
        <f>_xlfn.XLOOKUP(C13,Teams!$C:$C,Teams!$E:$E,,0,1)</f>
        <v>#VALUE!</v>
      </c>
      <c r="E13" s="46">
        <f ca="1">Games!L12</f>
        <v>95</v>
      </c>
      <c r="F13" s="259" t="str">
        <f ca="1">Games!O12</f>
        <v>Arizona</v>
      </c>
      <c r="G13" s="262" t="e" vm="78">
        <f ca="1">_xlfn.XLOOKUP(F13,Teams!$C:$C,Teams!$E:$E,,0,1)</f>
        <v>#VALUE!</v>
      </c>
      <c r="H13" s="254">
        <f ca="1">Games!L44</f>
        <v>107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8"/>
      <c r="U13" s="289"/>
      <c r="V13" s="290"/>
      <c r="W13" s="25"/>
      <c r="X13" s="25"/>
      <c r="AA13" s="25"/>
      <c r="AB13" s="55"/>
      <c r="AD13" s="25"/>
      <c r="AE13" s="56"/>
      <c r="AG13" s="24"/>
      <c r="AH13" s="254">
        <f ca="1">Games!L52</f>
        <v>98</v>
      </c>
      <c r="AI13" s="252" t="e" vm="100">
        <f ca="1">_xlfn.XLOOKUP(AJ13,Teams!$C:$C,Teams!$E:$E,,0,1)</f>
        <v>#VALUE!</v>
      </c>
      <c r="AJ13" s="259" t="str">
        <f ca="1">Games!O28</f>
        <v>Cal State Fullerton</v>
      </c>
      <c r="AK13" s="58">
        <f ca="1">Games!L28</f>
        <v>91</v>
      </c>
      <c r="AL13" s="46" t="e" vm="99">
        <f>_xlfn.XLOOKUP(AM13,Teams!$C:$C,Teams!$E:$E,,0,1)</f>
        <v>#VALUE!</v>
      </c>
      <c r="AM13" s="37" t="str">
        <f>Games!G28</f>
        <v>Cal State Bakersfield</v>
      </c>
      <c r="AN13" s="27">
        <v>5</v>
      </c>
      <c r="AO13" s="17"/>
      <c r="AQ13" s="9"/>
    </row>
    <row r="14" spans="1:47" ht="10.5" customHeight="1" thickBot="1" x14ac:dyDescent="0.35">
      <c r="A14" s="258">
        <f>IF($AU$5=TRUE,A10+1,"")</f>
        <v>3</v>
      </c>
      <c r="B14" s="28"/>
      <c r="C14" s="38"/>
      <c r="D14" s="71"/>
      <c r="E14" s="49"/>
      <c r="F14" s="260"/>
      <c r="G14" s="263"/>
      <c r="H14" s="25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8"/>
      <c r="U14" s="289"/>
      <c r="V14" s="290"/>
      <c r="W14" s="25"/>
      <c r="X14" s="25"/>
      <c r="AA14" s="25"/>
      <c r="AB14" s="56"/>
      <c r="AD14" s="25"/>
      <c r="AE14" s="56"/>
      <c r="AG14" s="24"/>
      <c r="AH14" s="255"/>
      <c r="AI14" s="253"/>
      <c r="AJ14" s="260"/>
      <c r="AK14" s="55"/>
      <c r="AM14" s="39"/>
      <c r="AN14" s="28"/>
      <c r="AO14" s="280">
        <f>IF($AU$5=TRUE,AO10+1,"")</f>
        <v>19</v>
      </c>
      <c r="AQ14" s="278"/>
    </row>
    <row r="15" spans="1:47" ht="13.8" customHeight="1" thickBot="1" x14ac:dyDescent="0.35">
      <c r="A15" s="258"/>
      <c r="B15" s="27">
        <v>12</v>
      </c>
      <c r="C15" s="36" t="str">
        <f>Games!I12</f>
        <v>Arizona</v>
      </c>
      <c r="D15" s="70" t="e" vm="78">
        <f>_xlfn.XLOOKUP(C15,Teams!$C:$C,Teams!$E:$E,,0,1)</f>
        <v>#VALUE!</v>
      </c>
      <c r="E15" s="48">
        <f ca="1">Games!N12</f>
        <v>120</v>
      </c>
      <c r="F15" s="279">
        <f>IF($AU$5=TRUE,F7+1,"")</f>
        <v>34</v>
      </c>
      <c r="G15" s="14"/>
      <c r="H15" s="49"/>
      <c r="I15" s="266" t="str">
        <f ca="1">Games!O44</f>
        <v>Alcorn State</v>
      </c>
      <c r="J15" s="262" t="e" vm="80">
        <f ca="1">_xlfn.XLOOKUP(I15,Teams!$C:$C,Teams!$E:$E,,0,1)</f>
        <v>#VALUE!</v>
      </c>
      <c r="K15" s="272">
        <f ca="1">Games!N60</f>
        <v>101</v>
      </c>
      <c r="L15" s="25"/>
      <c r="M15" s="25"/>
      <c r="N15" s="50"/>
      <c r="O15" s="25"/>
      <c r="P15" s="25"/>
      <c r="R15" s="25"/>
      <c r="S15" s="25"/>
      <c r="T15" s="288"/>
      <c r="U15" s="289"/>
      <c r="V15" s="290"/>
      <c r="W15" s="25"/>
      <c r="X15" s="25"/>
      <c r="AA15" s="25"/>
      <c r="AB15" s="56"/>
      <c r="AD15" s="25"/>
      <c r="AE15" s="256">
        <f ca="1">Games!N64</f>
        <v>93</v>
      </c>
      <c r="AF15" s="252" t="e" vm="101">
        <f ca="1">_xlfn.XLOOKUP(AG15,Teams!$C:$C,Teams!$E:$E,,0,1)</f>
        <v>#VALUE!</v>
      </c>
      <c r="AG15" s="259" t="str">
        <f ca="1">Games!O52</f>
        <v>Cal State Northridge</v>
      </c>
      <c r="AH15" s="55"/>
      <c r="AI15" s="51"/>
      <c r="AJ15" s="279">
        <f>IF($AU$5=TRUE,AJ7+1,"")</f>
        <v>42</v>
      </c>
      <c r="AK15" s="59">
        <f ca="1">Games!N28</f>
        <v>100</v>
      </c>
      <c r="AL15" s="46" t="e" vm="100">
        <f>_xlfn.XLOOKUP(AM15,Teams!$C:$C,Teams!$E:$E,,0,1)</f>
        <v>#VALUE!</v>
      </c>
      <c r="AM15" s="37" t="str">
        <f>Games!I28</f>
        <v>Cal State Fullerton</v>
      </c>
      <c r="AN15" s="27">
        <v>12</v>
      </c>
      <c r="AO15" s="280"/>
      <c r="AQ15" s="278"/>
    </row>
    <row r="16" spans="1:47" ht="10.5" customHeight="1" thickBot="1" x14ac:dyDescent="0.35">
      <c r="A16" s="16"/>
      <c r="B16" s="28"/>
      <c r="C16" s="38"/>
      <c r="D16" s="71"/>
      <c r="F16" s="258"/>
      <c r="G16" s="15"/>
      <c r="H16" s="50"/>
      <c r="I16" s="267"/>
      <c r="J16" s="263"/>
      <c r="K16" s="273"/>
      <c r="L16" s="25"/>
      <c r="M16" s="25"/>
      <c r="N16" s="50"/>
      <c r="O16" s="25"/>
      <c r="P16" s="25"/>
      <c r="R16" s="25"/>
      <c r="S16" s="25"/>
      <c r="T16" s="288"/>
      <c r="U16" s="289"/>
      <c r="V16" s="290"/>
      <c r="W16" s="25"/>
      <c r="X16" s="25"/>
      <c r="AA16" s="25"/>
      <c r="AB16" s="56"/>
      <c r="AD16" s="25"/>
      <c r="AE16" s="257"/>
      <c r="AF16" s="253"/>
      <c r="AG16" s="260"/>
      <c r="AH16" s="56"/>
      <c r="AJ16" s="258"/>
      <c r="AM16" s="39"/>
      <c r="AN16" s="28"/>
      <c r="AO16" s="17"/>
      <c r="AQ16" s="278"/>
    </row>
    <row r="17" spans="1:43" ht="18.600000000000001" customHeight="1" thickBot="1" x14ac:dyDescent="0.35">
      <c r="A17" s="16"/>
      <c r="B17" s="27">
        <v>4</v>
      </c>
      <c r="C17" s="36" t="str">
        <f>Games!G13</f>
        <v>Arizona State</v>
      </c>
      <c r="D17" s="70" t="e" vm="79">
        <f>_xlfn.XLOOKUP(C17,Teams!$C:$C,Teams!$E:$E,,0,1)</f>
        <v>#VALUE!</v>
      </c>
      <c r="E17" s="46">
        <f ca="1">Games!L13</f>
        <v>103</v>
      </c>
      <c r="F17" s="259" t="str">
        <f ca="1">Games!O13</f>
        <v>Alcorn State</v>
      </c>
      <c r="G17" s="262" t="e" vm="80">
        <f ca="1">_xlfn.XLOOKUP(F17,Teams!$C:$C,Teams!$E:$E,,0,1)</f>
        <v>#VALUE!</v>
      </c>
      <c r="H17" s="272">
        <f ca="1">Games!N44</f>
        <v>119</v>
      </c>
      <c r="I17" s="24"/>
      <c r="J17" s="24"/>
      <c r="L17" s="25"/>
      <c r="M17" s="25"/>
      <c r="N17" s="50"/>
      <c r="O17" s="25"/>
      <c r="P17" s="25"/>
      <c r="R17" s="25"/>
      <c r="S17" s="25"/>
      <c r="T17" s="288"/>
      <c r="U17" s="289"/>
      <c r="V17" s="290"/>
      <c r="W17" s="25"/>
      <c r="X17" s="25"/>
      <c r="AA17" s="25"/>
      <c r="AB17" s="56"/>
      <c r="AD17" s="25"/>
      <c r="AG17" s="24"/>
      <c r="AH17" s="256">
        <f ca="1">Games!N52</f>
        <v>109</v>
      </c>
      <c r="AI17" s="252" t="e" vm="101">
        <f ca="1">_xlfn.XLOOKUP(AJ17,Teams!$C:$C,Teams!$E:$E,,0,1)</f>
        <v>#VALUE!</v>
      </c>
      <c r="AJ17" s="259" t="str">
        <f ca="1">Games!O29</f>
        <v>Cal State Northridge</v>
      </c>
      <c r="AK17" s="58">
        <f ca="1">Games!L29</f>
        <v>116</v>
      </c>
      <c r="AL17" s="46" t="e" vm="101">
        <f>_xlfn.XLOOKUP(AM17,Teams!$C:$C,Teams!$E:$E,,0,1)</f>
        <v>#VALUE!</v>
      </c>
      <c r="AM17" s="37" t="str">
        <f>Games!G29</f>
        <v>Cal State Northridge</v>
      </c>
      <c r="AN17" s="27">
        <v>4</v>
      </c>
      <c r="AO17" s="17"/>
      <c r="AQ17" s="278"/>
    </row>
    <row r="18" spans="1:43" ht="10.5" customHeight="1" thickBot="1" x14ac:dyDescent="0.35">
      <c r="A18" s="258">
        <f>IF($AU$5=TRUE,A14+1,"")</f>
        <v>4</v>
      </c>
      <c r="B18" s="28"/>
      <c r="C18" s="38"/>
      <c r="D18" s="71"/>
      <c r="E18" s="49"/>
      <c r="F18" s="260"/>
      <c r="G18" s="263"/>
      <c r="H18" s="273"/>
      <c r="I18" s="24"/>
      <c r="J18" s="24"/>
      <c r="L18" s="25"/>
      <c r="M18" s="25"/>
      <c r="N18" s="50"/>
      <c r="O18" s="25"/>
      <c r="P18" s="25"/>
      <c r="R18" s="25"/>
      <c r="S18" s="25"/>
      <c r="T18" s="288"/>
      <c r="U18" s="289"/>
      <c r="V18" s="290"/>
      <c r="W18" s="25"/>
      <c r="X18" s="25"/>
      <c r="AA18" s="25"/>
      <c r="AB18" s="56"/>
      <c r="AD18" s="25"/>
      <c r="AG18" s="24"/>
      <c r="AH18" s="257"/>
      <c r="AI18" s="253"/>
      <c r="AJ18" s="260"/>
      <c r="AK18" s="55"/>
      <c r="AM18" s="39"/>
      <c r="AN18" s="28"/>
      <c r="AO18" s="280">
        <f>IF($AU$5=TRUE,AO14+1,"")</f>
        <v>20</v>
      </c>
      <c r="AQ18" s="278"/>
    </row>
    <row r="19" spans="1:43" ht="13.8" customHeight="1" thickBot="1" x14ac:dyDescent="0.45">
      <c r="A19" s="258"/>
      <c r="B19" s="27">
        <v>13</v>
      </c>
      <c r="C19" s="36" t="str">
        <f>Games!I13</f>
        <v>Alcorn State</v>
      </c>
      <c r="D19" s="70" t="e" vm="80">
        <f>_xlfn.XLOOKUP(C19,Teams!$C:$C,Teams!$E:$E,,0,1)</f>
        <v>#VALUE!</v>
      </c>
      <c r="E19" s="48">
        <f ca="1">Games!N13</f>
        <v>112</v>
      </c>
      <c r="F19" s="24"/>
      <c r="G19" s="24"/>
      <c r="I19" s="24"/>
      <c r="J19" s="24"/>
      <c r="K19" s="261" t="s">
        <v>15</v>
      </c>
      <c r="L19" s="261"/>
      <c r="M19" s="20"/>
      <c r="N19" s="50"/>
      <c r="O19" s="266" t="str">
        <f ca="1">Games!O69</f>
        <v>Arizona State</v>
      </c>
      <c r="P19" s="262" t="e" vm="79">
        <f ca="1">_xlfn.XLOOKUP(O19,Teams!$C:$C,Teams!$E:$E,,0,1)</f>
        <v>#VALUE!</v>
      </c>
      <c r="Q19" s="254">
        <f ca="1">Games!L74</f>
        <v>96</v>
      </c>
      <c r="R19" s="25"/>
      <c r="S19" s="25"/>
      <c r="T19" s="291"/>
      <c r="U19" s="292"/>
      <c r="V19" s="293"/>
      <c r="W19" s="25"/>
      <c r="X19" s="25"/>
      <c r="Y19" s="254">
        <f ca="1">Games!L75</f>
        <v>98</v>
      </c>
      <c r="Z19" s="252" t="e" vm="95">
        <f ca="1">_xlfn.XLOOKUP(AA19,Teams!$C:$C,Teams!$E:$E,,0,1)</f>
        <v>#VALUE!</v>
      </c>
      <c r="AA19" s="259" t="str">
        <f ca="1">Games!O71</f>
        <v>Bucknell</v>
      </c>
      <c r="AB19" s="56"/>
      <c r="AD19" s="261" t="s">
        <v>3</v>
      </c>
      <c r="AE19" s="261"/>
      <c r="AF19" s="20"/>
      <c r="AG19" s="24"/>
      <c r="AJ19" s="24"/>
      <c r="AK19" s="59">
        <f ca="1">Games!N29</f>
        <v>115</v>
      </c>
      <c r="AL19" s="46" t="e" vm="102">
        <f>_xlfn.XLOOKUP(AM19,Teams!$C:$C,Teams!$E:$E,,0,1)</f>
        <v>#VALUE!</v>
      </c>
      <c r="AM19" s="37" t="str">
        <f>Games!I29</f>
        <v>California</v>
      </c>
      <c r="AN19" s="27">
        <v>13</v>
      </c>
      <c r="AO19" s="280"/>
      <c r="AQ19" s="27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1"/>
      <c r="L20" s="261"/>
      <c r="M20" s="20"/>
      <c r="N20" s="50"/>
      <c r="O20" s="267"/>
      <c r="P20" s="263"/>
      <c r="Q20" s="255"/>
      <c r="R20" s="25"/>
      <c r="S20" s="25"/>
      <c r="T20" s="25"/>
      <c r="U20" s="75"/>
      <c r="V20" s="25"/>
      <c r="W20" s="25"/>
      <c r="X20" s="25"/>
      <c r="Y20" s="255"/>
      <c r="Z20" s="253"/>
      <c r="AA20" s="260"/>
      <c r="AB20" s="56"/>
      <c r="AD20" s="261"/>
      <c r="AE20" s="261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8">
        <f>IF($AU$5=TRUE,A18+1,"")</f>
        <v>5</v>
      </c>
      <c r="B21" s="27">
        <v>6</v>
      </c>
      <c r="C21" s="36" t="str">
        <f>Games!G14</f>
        <v>American</v>
      </c>
      <c r="D21" s="70" t="e" vm="81">
        <f>_xlfn.XLOOKUP(C21,Teams!$C:$C,Teams!$E:$E,,0,1)</f>
        <v>#VALUE!</v>
      </c>
      <c r="E21" s="46">
        <f ca="1">Games!L14</f>
        <v>106</v>
      </c>
      <c r="F21" s="259" t="str">
        <f ca="1">Games!O14</f>
        <v>Appalachian State</v>
      </c>
      <c r="G21" s="262" t="e" vm="82">
        <f ca="1">_xlfn.XLOOKUP(F21,Teams!$C:$C,Teams!$E:$E,,0,1)</f>
        <v>#VALUE!</v>
      </c>
      <c r="H21" s="254">
        <f ca="1">Games!L45</f>
        <v>102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4">
        <f ca="1">Games!L53</f>
        <v>102</v>
      </c>
      <c r="AI21" s="252" t="e" vm="103">
        <f ca="1">_xlfn.XLOOKUP(AJ21,Teams!$C:$C,Teams!$E:$E,,0,1)</f>
        <v>#VALUE!</v>
      </c>
      <c r="AJ21" s="259" t="str">
        <f ca="1">Games!O30</f>
        <v>California Baptist</v>
      </c>
      <c r="AK21" s="58">
        <f ca="1">Games!L30</f>
        <v>108</v>
      </c>
      <c r="AL21" s="46" t="e" vm="103">
        <f>_xlfn.XLOOKUP(AM21,Teams!$C:$C,Teams!$E:$E,,0,1)</f>
        <v>#VALUE!</v>
      </c>
      <c r="AM21" s="37" t="str">
        <f>Games!G30</f>
        <v>California Baptist</v>
      </c>
      <c r="AN21" s="27">
        <v>6</v>
      </c>
      <c r="AO21" s="17"/>
      <c r="AQ21" s="9"/>
    </row>
    <row r="22" spans="1:43" ht="10.5" customHeight="1" thickBot="1" x14ac:dyDescent="0.35">
      <c r="A22" s="258"/>
      <c r="B22" s="28"/>
      <c r="C22" s="38"/>
      <c r="D22" s="71"/>
      <c r="E22" s="49"/>
      <c r="F22" s="260"/>
      <c r="G22" s="263"/>
      <c r="H22" s="25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5"/>
      <c r="AI22" s="253"/>
      <c r="AJ22" s="260"/>
      <c r="AK22" s="55"/>
      <c r="AM22" s="39"/>
      <c r="AN22" s="28"/>
      <c r="AO22" s="280">
        <f>IF($AU$5=TRUE,AO18+1,"")</f>
        <v>21</v>
      </c>
      <c r="AQ22" s="278"/>
    </row>
    <row r="23" spans="1:43" ht="13.8" customHeight="1" thickBot="1" x14ac:dyDescent="0.35">
      <c r="A23" s="16"/>
      <c r="B23" s="27">
        <v>11</v>
      </c>
      <c r="C23" s="40" t="str">
        <f>Games!I14</f>
        <v>Appalachian State</v>
      </c>
      <c r="D23" s="70" t="e" vm="82">
        <f>_xlfn.XLOOKUP(C23,Teams!$C:$C,Teams!$E:$E,,0,1)</f>
        <v>#VALUE!</v>
      </c>
      <c r="E23" s="48">
        <f ca="1">Games!N14</f>
        <v>120</v>
      </c>
      <c r="F23" s="279">
        <f>IF($AU$5=TRUE,F15+1,"")</f>
        <v>35</v>
      </c>
      <c r="G23" s="14"/>
      <c r="H23" s="49"/>
      <c r="I23" s="266" t="str">
        <f ca="1">Games!O45</f>
        <v>Arizona State</v>
      </c>
      <c r="J23" s="262" t="e" vm="79">
        <f ca="1">_xlfn.XLOOKUP(I23,Teams!$C:$C,Teams!$E:$E,,0,1)</f>
        <v>#VALUE!</v>
      </c>
      <c r="K23" s="254">
        <f ca="1">Games!L61</f>
        <v>115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4">
        <f ca="1">Games!L65</f>
        <v>91</v>
      </c>
      <c r="AF23" s="252" t="e" vm="106">
        <f ca="1">_xlfn.XLOOKUP(AG23,Teams!$C:$C,Teams!$E:$E,,0,1)</f>
        <v>#VALUE!</v>
      </c>
      <c r="AG23" s="259" t="str">
        <f ca="1">Games!O53</f>
        <v>Central Arkansas</v>
      </c>
      <c r="AH23" s="55"/>
      <c r="AI23" s="51"/>
      <c r="AJ23" s="279">
        <f>IF($AU$5=TRUE,AJ15+1,"")</f>
        <v>43</v>
      </c>
      <c r="AK23" s="59">
        <f ca="1">Games!N30</f>
        <v>94</v>
      </c>
      <c r="AL23" s="46" t="e" vm="104">
        <f>_xlfn.XLOOKUP(AM23,Teams!$C:$C,Teams!$E:$E,,0,1)</f>
        <v>#VALUE!</v>
      </c>
      <c r="AM23" s="37" t="str">
        <f>Games!I30</f>
        <v>Campbell</v>
      </c>
      <c r="AN23" s="27">
        <v>11</v>
      </c>
      <c r="AO23" s="280"/>
      <c r="AQ23" s="278"/>
    </row>
    <row r="24" spans="1:43" ht="10.5" customHeight="1" thickBot="1" x14ac:dyDescent="0.35">
      <c r="A24" s="16"/>
      <c r="B24" s="28"/>
      <c r="C24" s="38"/>
      <c r="D24" s="71"/>
      <c r="F24" s="258"/>
      <c r="G24" s="15"/>
      <c r="H24" s="50"/>
      <c r="I24" s="267"/>
      <c r="J24" s="263"/>
      <c r="K24" s="25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5"/>
      <c r="AF24" s="253"/>
      <c r="AG24" s="260"/>
      <c r="AH24" s="56"/>
      <c r="AJ24" s="258"/>
      <c r="AM24" s="39"/>
      <c r="AN24" s="28"/>
      <c r="AO24" s="17"/>
      <c r="AQ24" s="278"/>
    </row>
    <row r="25" spans="1:43" ht="18.600000000000001" customHeight="1" thickBot="1" x14ac:dyDescent="0.35">
      <c r="A25" s="16"/>
      <c r="B25" s="27">
        <v>3</v>
      </c>
      <c r="C25" s="36" t="str">
        <f>Games!G15</f>
        <v>Arizona</v>
      </c>
      <c r="D25" s="70" t="e" vm="78">
        <f>_xlfn.XLOOKUP(C25,Teams!$C:$C,Teams!$E:$E,,0,1)</f>
        <v>#VALUE!</v>
      </c>
      <c r="E25" s="46">
        <f ca="1">Games!L15</f>
        <v>95</v>
      </c>
      <c r="F25" s="259" t="str">
        <f ca="1">Games!O15</f>
        <v>Arizona State</v>
      </c>
      <c r="G25" s="262" t="e" vm="79">
        <f ca="1">_xlfn.XLOOKUP(F25,Teams!$C:$C,Teams!$E:$E,,0,1)</f>
        <v>#VALUE!</v>
      </c>
      <c r="H25" s="272">
        <f ca="1">Games!N45</f>
        <v>114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6">
        <f ca="1">Games!N53</f>
        <v>107</v>
      </c>
      <c r="AI25" s="252" t="e" vm="106">
        <f ca="1">_xlfn.XLOOKUP(AJ25,Teams!$C:$C,Teams!$E:$E,,0,1)</f>
        <v>#VALUE!</v>
      </c>
      <c r="AJ25" s="259" t="str">
        <f ca="1">Games!O31</f>
        <v>Central Arkansas</v>
      </c>
      <c r="AK25" s="58">
        <f ca="1">Games!L31</f>
        <v>104</v>
      </c>
      <c r="AL25" s="46" t="e" vm="105">
        <f>_xlfn.XLOOKUP(AM25,Teams!$C:$C,Teams!$E:$E,,0,1)</f>
        <v>#VALUE!</v>
      </c>
      <c r="AM25" s="37" t="str">
        <f>Games!G31</f>
        <v>Canisius</v>
      </c>
      <c r="AN25" s="27">
        <v>3</v>
      </c>
      <c r="AO25" s="17"/>
      <c r="AQ25" s="278"/>
    </row>
    <row r="26" spans="1:43" ht="10.5" customHeight="1" thickBot="1" x14ac:dyDescent="0.35">
      <c r="A26" s="258">
        <f>IF($AU$5=TRUE,A21+1,"")</f>
        <v>6</v>
      </c>
      <c r="B26" s="28"/>
      <c r="C26" s="38"/>
      <c r="D26" s="71"/>
      <c r="E26" s="49"/>
      <c r="F26" s="260"/>
      <c r="G26" s="263"/>
      <c r="H26" s="273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7"/>
      <c r="AI26" s="253"/>
      <c r="AJ26" s="260"/>
      <c r="AK26" s="55"/>
      <c r="AM26" s="39"/>
      <c r="AN26" s="28"/>
      <c r="AO26" s="280">
        <f>IF($AU$5=TRUE,AO22+1,"")</f>
        <v>22</v>
      </c>
      <c r="AQ26" s="278"/>
    </row>
    <row r="27" spans="1:43" ht="13.8" customHeight="1" thickBot="1" x14ac:dyDescent="0.35">
      <c r="A27" s="258"/>
      <c r="B27" s="27">
        <v>14</v>
      </c>
      <c r="C27" s="36" t="str">
        <f>Games!I15</f>
        <v>Arizona State</v>
      </c>
      <c r="D27" s="70" t="e" vm="79">
        <f>_xlfn.XLOOKUP(C27,Teams!$C:$C,Teams!$E:$E,,0,1)</f>
        <v>#VALUE!</v>
      </c>
      <c r="E27" s="48">
        <f ca="1">Games!N15</f>
        <v>115</v>
      </c>
      <c r="F27" s="24"/>
      <c r="G27" s="24"/>
      <c r="I27" s="258">
        <f>IF($AU$5=TRUE,I11+1,"")</f>
        <v>50</v>
      </c>
      <c r="J27" s="15"/>
      <c r="K27" s="50"/>
      <c r="L27" s="266" t="str">
        <f ca="1">Games!O61</f>
        <v>Arizona State</v>
      </c>
      <c r="M27" s="262" t="e" vm="79">
        <f ca="1">_xlfn.XLOOKUP(L27,Teams!$C:$C,Teams!$E:$E,,0,1)</f>
        <v>#VALUE!</v>
      </c>
      <c r="N27" s="272">
        <f ca="1">Games!N69</f>
        <v>117</v>
      </c>
      <c r="O27" s="25"/>
      <c r="P27" s="25"/>
      <c r="Q27" s="50"/>
      <c r="R27" s="266" t="str">
        <f ca="1">Games!O74</f>
        <v>Baylor</v>
      </c>
      <c r="S27" s="259"/>
      <c r="T27" s="259"/>
      <c r="U27" s="274" t="e" vm="90">
        <f ca="1">_xlfn.XLOOKUP(R27,Teams!$C:$C,Teams!$E:$E,,0,1)</f>
        <v>#VALUE!</v>
      </c>
      <c r="V27" s="276">
        <f ca="1">Games!L77</f>
        <v>100</v>
      </c>
      <c r="W27" s="24"/>
      <c r="X27" s="25"/>
      <c r="Y27" s="56"/>
      <c r="AA27" s="25"/>
      <c r="AB27" s="256">
        <f ca="1">Games!N71</f>
        <v>112</v>
      </c>
      <c r="AC27" s="252" t="e" vm="110">
        <f ca="1">_xlfn.XLOOKUP(AD27,Teams!$C:$C,Teams!$E:$E,,0,1)</f>
        <v>#VALUE!</v>
      </c>
      <c r="AD27" s="259" t="str">
        <f ca="1">Games!O65</f>
        <v>Charlotte</v>
      </c>
      <c r="AE27" s="56"/>
      <c r="AG27" s="258">
        <f>IF($AU$5=TRUE,AG11+1,"")</f>
        <v>54</v>
      </c>
      <c r="AJ27" s="24"/>
      <c r="AK27" s="59">
        <f ca="1">Games!N31</f>
        <v>116</v>
      </c>
      <c r="AL27" s="46" t="e" vm="106">
        <f>_xlfn.XLOOKUP(AM27,Teams!$C:$C,Teams!$E:$E,,0,1)</f>
        <v>#VALUE!</v>
      </c>
      <c r="AM27" s="37" t="str">
        <f>Games!I31</f>
        <v>Central Arkansas</v>
      </c>
      <c r="AN27" s="27">
        <v>14</v>
      </c>
      <c r="AO27" s="280"/>
      <c r="AQ27" s="27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8"/>
      <c r="J28" s="15"/>
      <c r="K28" s="50"/>
      <c r="L28" s="267"/>
      <c r="M28" s="263"/>
      <c r="N28" s="273"/>
      <c r="O28" s="25"/>
      <c r="P28" s="25"/>
      <c r="Q28" s="50"/>
      <c r="R28" s="267"/>
      <c r="S28" s="260"/>
      <c r="T28" s="260"/>
      <c r="U28" s="275"/>
      <c r="V28" s="277"/>
      <c r="W28" s="24"/>
      <c r="X28" s="25"/>
      <c r="Y28" s="56"/>
      <c r="AA28" s="25"/>
      <c r="AB28" s="257"/>
      <c r="AC28" s="253"/>
      <c r="AD28" s="260"/>
      <c r="AE28" s="56"/>
      <c r="AG28" s="258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Games!G16</f>
        <v>Arkansas</v>
      </c>
      <c r="D29" s="70" t="e" vm="83">
        <f>_xlfn.XLOOKUP(C29,Teams!$C:$C,Teams!$E:$E,,0,1)</f>
        <v>#VALUE!</v>
      </c>
      <c r="E29" s="46">
        <f ca="1">Games!L16</f>
        <v>117</v>
      </c>
      <c r="F29" s="259" t="str">
        <f ca="1">Games!O16</f>
        <v>Arkansas</v>
      </c>
      <c r="G29" s="262" t="e" vm="83">
        <f ca="1">_xlfn.XLOOKUP(F29,Teams!$C:$C,Teams!$E:$E,,0,1)</f>
        <v>#VALUE!</v>
      </c>
      <c r="H29" s="254">
        <f ca="1">Games!L46</f>
        <v>91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4">
        <f ca="1">Games!L54</f>
        <v>105</v>
      </c>
      <c r="AI29" s="252" t="e" vm="108">
        <f ca="1">_xlfn.XLOOKUP(AJ29,Teams!$C:$C,Teams!$E:$E,,0,1)</f>
        <v>#VALUE!</v>
      </c>
      <c r="AJ29" s="259" t="str">
        <f ca="1">Games!O32</f>
        <v>Central Michigan</v>
      </c>
      <c r="AK29" s="58">
        <f ca="1">Games!L32</f>
        <v>91</v>
      </c>
      <c r="AL29" s="46" t="e" vm="107">
        <f>_xlfn.XLOOKUP(AM29,Teams!$C:$C,Teams!$E:$E,,0,1)</f>
        <v>#VALUE!</v>
      </c>
      <c r="AM29" s="37" t="str">
        <f>Games!G32</f>
        <v>Central Connecticut State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8">
        <f>IF($AU$5=TRUE,A26+1,"")</f>
        <v>7</v>
      </c>
      <c r="B30" s="28"/>
      <c r="C30" s="38"/>
      <c r="D30" s="71"/>
      <c r="E30" s="49"/>
      <c r="F30" s="260"/>
      <c r="G30" s="263"/>
      <c r="H30" s="25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5"/>
      <c r="AI30" s="253"/>
      <c r="AJ30" s="260"/>
      <c r="AK30" s="55"/>
      <c r="AM30" s="39"/>
      <c r="AN30" s="28"/>
      <c r="AO30" s="280">
        <f>IF($AU$5=TRUE,AO26+1,"")</f>
        <v>23</v>
      </c>
    </row>
    <row r="31" spans="1:43" ht="14.4" customHeight="1" thickBot="1" x14ac:dyDescent="0.35">
      <c r="A31" s="258"/>
      <c r="B31" s="27">
        <v>10</v>
      </c>
      <c r="C31" s="36" t="str">
        <f>Games!I19</f>
        <v>Baylor</v>
      </c>
      <c r="D31" s="70" t="e" vm="90">
        <f>_xlfn.XLOOKUP(C31,Teams!$C:$C,Teams!$E:$E,,0,1)</f>
        <v>#VALUE!</v>
      </c>
      <c r="E31" s="48">
        <f ca="1">Games!N16</f>
        <v>105</v>
      </c>
      <c r="F31" s="279">
        <f>IF($AU$5=TRUE,F23+1,"")</f>
        <v>36</v>
      </c>
      <c r="G31" s="14"/>
      <c r="H31" s="49"/>
      <c r="I31" s="266" t="str">
        <f ca="1">Games!O46</f>
        <v>Army</v>
      </c>
      <c r="J31" s="262" t="e" vm="86">
        <f ca="1">_xlfn.XLOOKUP(I31,Teams!$C:$C,Teams!$E:$E,,0,1)</f>
        <v>#VALUE!</v>
      </c>
      <c r="K31" s="272">
        <f ca="1">Games!N61</f>
        <v>97</v>
      </c>
      <c r="L31" s="25"/>
      <c r="M31" s="25"/>
      <c r="O31" s="25"/>
      <c r="P31" s="25"/>
      <c r="Q31" s="50"/>
      <c r="R31" s="4"/>
      <c r="S31" s="289" t="s">
        <v>0</v>
      </c>
      <c r="T31" s="289"/>
      <c r="U31" s="289"/>
      <c r="V31" s="289"/>
      <c r="W31" s="289"/>
      <c r="X31" s="5"/>
      <c r="Y31" s="56"/>
      <c r="AA31" s="25"/>
      <c r="AD31" s="25"/>
      <c r="AE31" s="256">
        <f ca="1">Games!N65</f>
        <v>95</v>
      </c>
      <c r="AF31" s="252" t="e" vm="110">
        <f ca="1">_xlfn.XLOOKUP(AG31,Teams!$C:$C,Teams!$E:$E,,0,1)</f>
        <v>#VALUE!</v>
      </c>
      <c r="AG31" s="259" t="str">
        <f ca="1">Games!O54</f>
        <v>Charlotte</v>
      </c>
      <c r="AH31" s="55"/>
      <c r="AI31" s="51"/>
      <c r="AJ31" s="279">
        <f>IF($AU$5=TRUE,AJ23+1,"")</f>
        <v>44</v>
      </c>
      <c r="AK31" s="59">
        <f ca="1">Games!N32</f>
        <v>99</v>
      </c>
      <c r="AL31" s="46" t="e" vm="108">
        <f>_xlfn.XLOOKUP(AM31,Teams!$C:$C,Teams!$E:$E,,0,1)</f>
        <v>#VALUE!</v>
      </c>
      <c r="AM31" s="37" t="str">
        <f>Games!I32</f>
        <v>Central Michigan</v>
      </c>
      <c r="AN31" s="27">
        <v>10</v>
      </c>
      <c r="AO31" s="280"/>
    </row>
    <row r="32" spans="1:43" ht="10.5" customHeight="1" thickBot="1" x14ac:dyDescent="0.35">
      <c r="A32" s="16"/>
      <c r="B32" s="28"/>
      <c r="C32" s="38"/>
      <c r="D32" s="71"/>
      <c r="F32" s="258"/>
      <c r="G32" s="15"/>
      <c r="H32" s="50"/>
      <c r="I32" s="267"/>
      <c r="J32" s="263"/>
      <c r="K32" s="273"/>
      <c r="L32" s="25"/>
      <c r="M32" s="25"/>
      <c r="O32" s="25"/>
      <c r="P32" s="25"/>
      <c r="Q32" s="50"/>
      <c r="R32" s="30"/>
      <c r="S32" s="294" t="str">
        <f ca="1">Games!O77</f>
        <v>Baylor</v>
      </c>
      <c r="T32" s="295"/>
      <c r="U32" s="295"/>
      <c r="V32" s="295"/>
      <c r="W32" s="296"/>
      <c r="X32" s="31"/>
      <c r="Y32" s="56"/>
      <c r="AA32" s="25"/>
      <c r="AD32" s="25"/>
      <c r="AE32" s="257"/>
      <c r="AF32" s="253"/>
      <c r="AG32" s="260"/>
      <c r="AH32" s="56"/>
      <c r="AJ32" s="258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Games!G17</f>
        <v>Arkansas-Pine Bluff</v>
      </c>
      <c r="D33" s="70" t="e" vm="85">
        <f>_xlfn.XLOOKUP(C33,Teams!$C:$C,Teams!$E:$E,,0,1)</f>
        <v>#VALUE!</v>
      </c>
      <c r="E33" s="46">
        <f ca="1">Games!L17</f>
        <v>96</v>
      </c>
      <c r="F33" s="259" t="str">
        <f ca="1">Games!O17</f>
        <v>Army</v>
      </c>
      <c r="G33" s="262" t="e" vm="86">
        <f ca="1">_xlfn.XLOOKUP(F33,Teams!$C:$C,Teams!$E:$E,,0,1)</f>
        <v>#VALUE!</v>
      </c>
      <c r="H33" s="272">
        <f ca="1">Games!N46</f>
        <v>109</v>
      </c>
      <c r="I33" s="24"/>
      <c r="J33" s="24"/>
      <c r="L33" s="25"/>
      <c r="M33" s="25"/>
      <c r="O33" s="25"/>
      <c r="P33" s="25"/>
      <c r="Q33" s="50"/>
      <c r="R33" s="30"/>
      <c r="S33" s="297"/>
      <c r="T33" s="298"/>
      <c r="U33" s="298"/>
      <c r="V33" s="298"/>
      <c r="W33" s="299"/>
      <c r="X33" s="31"/>
      <c r="Y33" s="56"/>
      <c r="AA33" s="25"/>
      <c r="AD33" s="25"/>
      <c r="AG33" s="24"/>
      <c r="AH33" s="256">
        <f ca="1">Games!N54</f>
        <v>110</v>
      </c>
      <c r="AI33" s="252" t="e" vm="110">
        <f ca="1">_xlfn.XLOOKUP(AJ33,Teams!$C:$C,Teams!$E:$E,,0,1)</f>
        <v>#VALUE!</v>
      </c>
      <c r="AJ33" s="259" t="str">
        <f ca="1">Games!O33</f>
        <v>Charlotte</v>
      </c>
      <c r="AK33" s="58">
        <f ca="1">Games!L33</f>
        <v>92</v>
      </c>
      <c r="AL33" s="46" t="e" vm="109">
        <f>_xlfn.XLOOKUP(AM33,Teams!$C:$C,Teams!$E:$E,,0,1)</f>
        <v>#VALUE!</v>
      </c>
      <c r="AM33" s="37" t="str">
        <f>Games!G33</f>
        <v>Charleston Southern</v>
      </c>
      <c r="AN33" s="27">
        <v>2</v>
      </c>
      <c r="AO33" s="17"/>
      <c r="AQ33" s="9"/>
    </row>
    <row r="34" spans="1:43" ht="10.5" customHeight="1" thickBot="1" x14ac:dyDescent="0.35">
      <c r="A34" s="258">
        <f>IF($AU$5=TRUE,A30+1,"")</f>
        <v>8</v>
      </c>
      <c r="B34" s="28"/>
      <c r="C34" s="38"/>
      <c r="D34" s="71"/>
      <c r="E34" s="49"/>
      <c r="F34" s="260"/>
      <c r="G34" s="263"/>
      <c r="H34" s="273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7"/>
      <c r="AI34" s="253"/>
      <c r="AJ34" s="260"/>
      <c r="AK34" s="55"/>
      <c r="AM34" s="39"/>
      <c r="AN34" s="28"/>
      <c r="AO34" s="280">
        <f>IF($AU$5=TRUE,AO30+1,"")</f>
        <v>24</v>
      </c>
      <c r="AQ34" s="278"/>
    </row>
    <row r="35" spans="1:43" ht="16.2" thickBot="1" x14ac:dyDescent="0.35">
      <c r="A35" s="258"/>
      <c r="B35" s="27">
        <v>15</v>
      </c>
      <c r="C35" s="36" t="str">
        <f>Games!I17</f>
        <v>Army</v>
      </c>
      <c r="D35" s="70" t="e" vm="86">
        <f>_xlfn.XLOOKUP(C35,Teams!$C:$C,Teams!$E:$E,,0,1)</f>
        <v>#VALUE!</v>
      </c>
      <c r="E35" s="48">
        <f ca="1">Games!N17</f>
        <v>114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8">
        <f>IF($AU$5=TRUE,AA35+1,"")</f>
        <v>63</v>
      </c>
      <c r="U35" s="258"/>
      <c r="V35" s="258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 ca="1">Games!N33</f>
        <v>101</v>
      </c>
      <c r="AL35" s="46" t="e" vm="110">
        <f>_xlfn.XLOOKUP(AM35,Teams!$C:$C,Teams!$E:$E,,0,1)</f>
        <v>#VALUE!</v>
      </c>
      <c r="AM35" s="37" t="str">
        <f>Games!I33</f>
        <v>Charlotte</v>
      </c>
      <c r="AN35" s="27">
        <v>15</v>
      </c>
      <c r="AO35" s="280"/>
      <c r="AQ35" s="27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8"/>
    </row>
    <row r="37" spans="1:43" ht="18.600000000000001" customHeight="1" thickBot="1" x14ac:dyDescent="0.35">
      <c r="A37" s="16"/>
      <c r="B37" s="27">
        <v>1</v>
      </c>
      <c r="C37" s="36" t="str">
        <f>Games!G18</f>
        <v>Auburn</v>
      </c>
      <c r="D37" s="70" t="e" vm="87">
        <f>_xlfn.XLOOKUP(C37,Teams!$C:$C,Teams!$E:$E,,0,1)</f>
        <v>#VALUE!</v>
      </c>
      <c r="E37" s="46">
        <f ca="1">Games!L18</f>
        <v>113</v>
      </c>
      <c r="F37" s="259" t="str">
        <f ca="1">Games!O18</f>
        <v>Auburn</v>
      </c>
      <c r="G37" s="262" t="e" vm="87">
        <f ca="1">_xlfn.XLOOKUP(F37,Teams!$C:$C,Teams!$E:$E,,0,1)</f>
        <v>#VALUE!</v>
      </c>
      <c r="H37" s="254">
        <f ca="1">Games!L47</f>
        <v>90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4">
        <f ca="1">Games!L55</f>
        <v>109</v>
      </c>
      <c r="AI37" s="252" t="e" vm="112">
        <f ca="1">_xlfn.XLOOKUP(AJ37,Teams!$C:$C,Teams!$E:$E,,0,1)</f>
        <v>#VALUE!</v>
      </c>
      <c r="AJ37" s="259" t="str">
        <f ca="1">Games!O34</f>
        <v>Chicago State</v>
      </c>
      <c r="AK37" s="58">
        <f ca="1">Games!L34</f>
        <v>93</v>
      </c>
      <c r="AL37" s="46" t="e" vm="111">
        <f>_xlfn.XLOOKUP(AM37,Teams!$C:$C,Teams!$E:$E,,0,1)</f>
        <v>#VALUE!</v>
      </c>
      <c r="AM37" s="37" t="str">
        <f>Games!G34</f>
        <v>Chattanooga</v>
      </c>
      <c r="AN37" s="27">
        <v>1</v>
      </c>
      <c r="AO37" s="17"/>
      <c r="AQ37" s="278"/>
    </row>
    <row r="38" spans="1:43" ht="10.5" customHeight="1" thickBot="1" x14ac:dyDescent="0.35">
      <c r="A38" s="258">
        <f>IF($AU$5=TRUE,A34+1,"")</f>
        <v>9</v>
      </c>
      <c r="B38" s="28"/>
      <c r="C38" s="38"/>
      <c r="D38" s="71"/>
      <c r="E38" s="49"/>
      <c r="F38" s="260"/>
      <c r="G38" s="263"/>
      <c r="H38" s="25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5"/>
      <c r="AI38" s="253"/>
      <c r="AJ38" s="260"/>
      <c r="AK38" s="55"/>
      <c r="AM38" s="39"/>
      <c r="AN38" s="28"/>
      <c r="AO38" s="280">
        <f>IF($AU$5=TRUE,AO34+1,"")</f>
        <v>25</v>
      </c>
    </row>
    <row r="39" spans="1:43" ht="13.8" customHeight="1" thickBot="1" x14ac:dyDescent="0.35">
      <c r="A39" s="258"/>
      <c r="B39" s="27">
        <v>16</v>
      </c>
      <c r="C39" s="36" t="str">
        <f>Games!I18</f>
        <v>Austin Peay</v>
      </c>
      <c r="D39" s="70" t="e" vm="88">
        <f>_xlfn.XLOOKUP(C39,Teams!$C:$C,Teams!$E:$E,,0,1)</f>
        <v>#VALUE!</v>
      </c>
      <c r="E39" s="48">
        <f ca="1">Games!N18</f>
        <v>91</v>
      </c>
      <c r="F39" s="279">
        <f>IF($AU$5=TRUE,F31+1,"")</f>
        <v>37</v>
      </c>
      <c r="G39" s="14"/>
      <c r="H39" s="49"/>
      <c r="I39" s="266" t="str">
        <f ca="1">Games!O47</f>
        <v>Baylor</v>
      </c>
      <c r="J39" s="262" t="e" vm="90">
        <f ca="1">_xlfn.XLOOKUP(I39,Teams!$C:$C,Teams!$E:$E,,0,1)</f>
        <v>#VALUE!</v>
      </c>
      <c r="K39" s="254">
        <f ca="1">Games!L62</f>
        <v>117</v>
      </c>
      <c r="L39" s="25"/>
      <c r="M39" s="25"/>
      <c r="O39" s="25"/>
      <c r="P39" s="25"/>
      <c r="Q39" s="50"/>
      <c r="R39" s="25"/>
      <c r="S39" s="25"/>
      <c r="T39" s="276">
        <f ca="1">Games!N77</f>
        <v>99</v>
      </c>
      <c r="U39" s="268" t="e" vm="115">
        <f ca="1">_xlfn.XLOOKUP(V39,Teams!$C:$C,Teams!$E:$E,,0,1)</f>
        <v>#VALUE!</v>
      </c>
      <c r="V39" s="259" t="str">
        <f ca="1">Games!O75</f>
        <v>Cleveland State</v>
      </c>
      <c r="W39" s="259"/>
      <c r="X39" s="270"/>
      <c r="Y39" s="56"/>
      <c r="AA39" s="25"/>
      <c r="AD39" s="25"/>
      <c r="AE39" s="256">
        <f ca="1">Games!L66</f>
        <v>99</v>
      </c>
      <c r="AF39" s="252" t="e" vm="112">
        <f ca="1">_xlfn.XLOOKUP(AG39,Teams!$C:$C,Teams!$E:$E,,0,1)</f>
        <v>#VALUE!</v>
      </c>
      <c r="AG39" s="259" t="str">
        <f ca="1">Games!O55</f>
        <v>Chicago State</v>
      </c>
      <c r="AH39" s="55"/>
      <c r="AI39" s="51"/>
      <c r="AJ39" s="279">
        <f>IF($AU$5=TRUE,AJ31+1,"")</f>
        <v>45</v>
      </c>
      <c r="AK39" s="59">
        <f ca="1">Games!N34</f>
        <v>118</v>
      </c>
      <c r="AL39" s="46" t="e" vm="112">
        <f>_xlfn.XLOOKUP(AM39,Teams!$C:$C,Teams!$E:$E,,0,1)</f>
        <v>#VALUE!</v>
      </c>
      <c r="AM39" s="37" t="str">
        <f>Games!I34</f>
        <v>Chicago State</v>
      </c>
      <c r="AN39" s="27">
        <v>16</v>
      </c>
      <c r="AO39" s="280"/>
    </row>
    <row r="40" spans="1:43" ht="10.5" customHeight="1" thickBot="1" x14ac:dyDescent="0.35">
      <c r="A40" s="16"/>
      <c r="B40" s="28"/>
      <c r="C40" s="38"/>
      <c r="D40" s="71"/>
      <c r="F40" s="258"/>
      <c r="G40" s="15"/>
      <c r="H40" s="50"/>
      <c r="I40" s="267"/>
      <c r="J40" s="263"/>
      <c r="K40" s="255"/>
      <c r="L40" s="25"/>
      <c r="M40" s="25"/>
      <c r="O40" s="25"/>
      <c r="P40" s="25"/>
      <c r="Q40" s="50"/>
      <c r="R40" s="25"/>
      <c r="S40" s="25"/>
      <c r="T40" s="277"/>
      <c r="U40" s="269"/>
      <c r="V40" s="260"/>
      <c r="W40" s="260"/>
      <c r="X40" s="271"/>
      <c r="Y40" s="56"/>
      <c r="AA40" s="25"/>
      <c r="AD40" s="25"/>
      <c r="AE40" s="257"/>
      <c r="AF40" s="253"/>
      <c r="AG40" s="260"/>
      <c r="AH40" s="56"/>
      <c r="AJ40" s="258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Games!G19</f>
        <v>Ball State</v>
      </c>
      <c r="D41" s="70" t="e" vm="89">
        <f>_xlfn.XLOOKUP(C41,Teams!$C:$C,Teams!$E:$E,,0,1)</f>
        <v>#VALUE!</v>
      </c>
      <c r="E41" s="46">
        <f ca="1">Games!L19</f>
        <v>90</v>
      </c>
      <c r="F41" s="259" t="str">
        <f ca="1">Games!O19</f>
        <v>Baylor</v>
      </c>
      <c r="G41" s="262" t="e" vm="90">
        <f ca="1">_xlfn.XLOOKUP(F41,Teams!$C:$C,Teams!$E:$E,,0,1)</f>
        <v>#VALUE!</v>
      </c>
      <c r="H41" s="272">
        <f ca="1">Games!N47</f>
        <v>99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6">
        <f ca="1">Games!N55</f>
        <v>103</v>
      </c>
      <c r="AI41" s="252" t="e" vm="114">
        <f ca="1">_xlfn.XLOOKUP(AJ41,Teams!$C:$C,Teams!$E:$E,,0,1)</f>
        <v>#VALUE!</v>
      </c>
      <c r="AJ41" s="259" t="str">
        <f ca="1">Games!O35</f>
        <v>Clemson</v>
      </c>
      <c r="AK41" s="58">
        <f ca="1">Games!L35</f>
        <v>100</v>
      </c>
      <c r="AL41" s="46" t="e" vm="113">
        <f>_xlfn.XLOOKUP(AM41,Teams!$C:$C,Teams!$E:$E,,0,1)</f>
        <v>#VALUE!</v>
      </c>
      <c r="AM41" s="37" t="str">
        <f>Games!G35</f>
        <v>Cincinnati</v>
      </c>
      <c r="AN41" s="27">
        <v>8</v>
      </c>
      <c r="AO41" s="17"/>
    </row>
    <row r="42" spans="1:43" ht="10.5" customHeight="1" thickBot="1" x14ac:dyDescent="0.35">
      <c r="A42" s="258">
        <f>IF($AU$5=TRUE,A38+1,"")</f>
        <v>10</v>
      </c>
      <c r="B42" s="28"/>
      <c r="C42" s="38"/>
      <c r="D42" s="71"/>
      <c r="E42" s="49"/>
      <c r="F42" s="260"/>
      <c r="G42" s="263"/>
      <c r="H42" s="273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7"/>
      <c r="AI42" s="253"/>
      <c r="AJ42" s="260"/>
      <c r="AK42" s="55"/>
      <c r="AM42" s="39"/>
      <c r="AN42" s="28"/>
      <c r="AO42" s="280">
        <f>IF($AU$5=TRUE,AO38+1,"")</f>
        <v>26</v>
      </c>
    </row>
    <row r="43" spans="1:43" ht="13.8" customHeight="1" thickBot="1" x14ac:dyDescent="0.35">
      <c r="A43" s="258"/>
      <c r="B43" s="27">
        <v>9</v>
      </c>
      <c r="C43" s="36" t="str">
        <f>Games!I19</f>
        <v>Baylor</v>
      </c>
      <c r="D43" s="70" t="e" vm="90">
        <f>_xlfn.XLOOKUP(C43,Teams!$C:$C,Teams!$E:$E,,0,1)</f>
        <v>#VALUE!</v>
      </c>
      <c r="E43" s="48">
        <f ca="1">Games!N19</f>
        <v>90</v>
      </c>
      <c r="F43" s="24"/>
      <c r="G43" s="24"/>
      <c r="I43" s="258">
        <f>IF($AU$5=TRUE,I27+1,"")</f>
        <v>51</v>
      </c>
      <c r="J43" s="15"/>
      <c r="K43" s="50"/>
      <c r="L43" s="266" t="str">
        <f ca="1">Games!O62</f>
        <v>Baylor</v>
      </c>
      <c r="M43" s="262" t="e" vm="90">
        <f ca="1">_xlfn.XLOOKUP(L43,Teams!$C:$C,Teams!$E:$E,,0,1)</f>
        <v>#VALUE!</v>
      </c>
      <c r="N43" s="254">
        <f ca="1">Games!L70</f>
        <v>112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4">
        <f ca="1">Games!L72</f>
        <v>96</v>
      </c>
      <c r="AC43" s="252" t="e" vm="115">
        <f ca="1">_xlfn.XLOOKUP(AD43,Teams!$C:$C,Teams!$E:$E,,0,1)</f>
        <v>#VALUE!</v>
      </c>
      <c r="AD43" s="264" t="str">
        <f ca="1">Games!O66</f>
        <v>Cleveland State</v>
      </c>
      <c r="AE43" s="56"/>
      <c r="AG43" s="258">
        <f>IF($AU$5=TRUE,AG27+1,"")</f>
        <v>55</v>
      </c>
      <c r="AJ43" s="24"/>
      <c r="AK43" s="59">
        <f ca="1">Games!N35</f>
        <v>114</v>
      </c>
      <c r="AL43" s="46" t="e" vm="114">
        <f>_xlfn.XLOOKUP(AM43,Teams!$C:$C,Teams!$E:$E,,0,1)</f>
        <v>#VALUE!</v>
      </c>
      <c r="AM43" s="37" t="str">
        <f>Games!I35</f>
        <v>Clemson</v>
      </c>
      <c r="AN43" s="27">
        <v>9</v>
      </c>
      <c r="AO43" s="280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8"/>
      <c r="J44" s="15"/>
      <c r="K44" s="50"/>
      <c r="L44" s="267"/>
      <c r="M44" s="263"/>
      <c r="N44" s="25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5"/>
      <c r="AC44" s="253"/>
      <c r="AD44" s="265"/>
      <c r="AE44" s="56"/>
      <c r="AG44" s="258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Games!G20</f>
        <v>Bellarmine</v>
      </c>
      <c r="D45" s="70" t="e" vm="91">
        <f>_xlfn.XLOOKUP(C45,Teams!$C:$C,Teams!$E:$E,,0,1)</f>
        <v>#VALUE!</v>
      </c>
      <c r="E45" s="46">
        <f ca="1">Games!L20</f>
        <v>113</v>
      </c>
      <c r="F45" s="259" t="str">
        <f ca="1">Games!O20</f>
        <v>Belmont</v>
      </c>
      <c r="G45" s="262" t="e" vm="92">
        <f ca="1">_xlfn.XLOOKUP(F45,Teams!$C:$C,Teams!$E:$E,,0,1)</f>
        <v>#VALUE!</v>
      </c>
      <c r="H45" s="254">
        <f ca="1">Games!L48</f>
        <v>115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4">
        <f ca="1">Games!L56</f>
        <v>113</v>
      </c>
      <c r="AI45" s="252" t="e" vm="115">
        <f ca="1">_xlfn.XLOOKUP(AJ45,Teams!$C:$C,Teams!$E:$E,,0,1)</f>
        <v>#VALUE!</v>
      </c>
      <c r="AJ45" s="259" t="str">
        <f ca="1">Games!O36</f>
        <v>Cleveland State</v>
      </c>
      <c r="AK45" s="58">
        <f ca="1">Games!L36</f>
        <v>119</v>
      </c>
      <c r="AL45" s="46" t="e" vm="115">
        <f>_xlfn.XLOOKUP(AM45,Teams!$C:$C,Teams!$E:$E,,0,1)</f>
        <v>#VALUE!</v>
      </c>
      <c r="AM45" s="37" t="str">
        <f>Games!G36</f>
        <v>Cleveland State</v>
      </c>
      <c r="AN45" s="27">
        <v>5</v>
      </c>
      <c r="AO45" s="17"/>
    </row>
    <row r="46" spans="1:43" ht="10.5" customHeight="1" thickBot="1" x14ac:dyDescent="0.35">
      <c r="A46" s="258">
        <f>IF($AU$5=TRUE,A42+1,"")</f>
        <v>11</v>
      </c>
      <c r="B46" s="28"/>
      <c r="C46" s="38"/>
      <c r="D46" s="71"/>
      <c r="E46" s="49"/>
      <c r="F46" s="260"/>
      <c r="G46" s="263"/>
      <c r="H46" s="25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5"/>
      <c r="AI46" s="253"/>
      <c r="AJ46" s="260"/>
      <c r="AK46" s="55"/>
      <c r="AM46" s="39"/>
      <c r="AN46" s="28"/>
      <c r="AO46" s="280">
        <f>IF($AU$5=TRUE,AO42+1,"")</f>
        <v>27</v>
      </c>
    </row>
    <row r="47" spans="1:43" ht="13.8" customHeight="1" thickBot="1" x14ac:dyDescent="0.35">
      <c r="A47" s="258"/>
      <c r="B47" s="27">
        <v>12</v>
      </c>
      <c r="C47" s="41" t="str">
        <f>Games!I20</f>
        <v>Belmont</v>
      </c>
      <c r="D47" s="70" t="e" vm="92">
        <f>_xlfn.XLOOKUP(C47,Teams!$C:$C,Teams!$E:$E,,0,1)</f>
        <v>#VALUE!</v>
      </c>
      <c r="E47" s="48">
        <f ca="1">Games!N20</f>
        <v>119</v>
      </c>
      <c r="F47" s="279">
        <f>IF($AU$5=TRUE,F39+1,"")</f>
        <v>38</v>
      </c>
      <c r="G47" s="14"/>
      <c r="H47" s="49"/>
      <c r="I47" s="266" t="str">
        <f ca="1">Games!O48</f>
        <v>Belmont</v>
      </c>
      <c r="J47" s="262" t="e" vm="92">
        <f ca="1">_xlfn.XLOOKUP(I47,Teams!$C:$C,Teams!$E:$E,,0,1)</f>
        <v>#VALUE!</v>
      </c>
      <c r="K47" s="272">
        <f ca="1">Games!N62</f>
        <v>92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6">
        <f ca="1">Games!N66</f>
        <v>117</v>
      </c>
      <c r="AF47" s="252" t="e" vm="115">
        <f ca="1">_xlfn.XLOOKUP(AG47,Teams!$C:$C,Teams!$E:$E,,0,1)</f>
        <v>#VALUE!</v>
      </c>
      <c r="AG47" s="259" t="str">
        <f ca="1">Games!O56</f>
        <v>Cleveland State</v>
      </c>
      <c r="AH47" s="55"/>
      <c r="AI47" s="51"/>
      <c r="AJ47" s="279">
        <f>IF($AU$5=TRUE,AJ39+1,"")</f>
        <v>46</v>
      </c>
      <c r="AK47" s="59">
        <f ca="1">Games!N36</f>
        <v>96</v>
      </c>
      <c r="AL47" s="46" t="e" vm="116">
        <f>_xlfn.XLOOKUP(AM47,Teams!$C:$C,Teams!$E:$E,,0,1)</f>
        <v>#VALUE!</v>
      </c>
      <c r="AM47" s="37" t="str">
        <f>Games!I36</f>
        <v>Coastal Carolina</v>
      </c>
      <c r="AN47" s="27">
        <v>12</v>
      </c>
      <c r="AO47" s="280"/>
    </row>
    <row r="48" spans="1:43" ht="10.5" customHeight="1" thickBot="1" x14ac:dyDescent="0.35">
      <c r="A48" s="16"/>
      <c r="B48" s="28"/>
      <c r="C48" s="38"/>
      <c r="D48" s="71"/>
      <c r="F48" s="258"/>
      <c r="G48" s="15"/>
      <c r="H48" s="50"/>
      <c r="I48" s="267"/>
      <c r="J48" s="263"/>
      <c r="K48" s="273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7"/>
      <c r="AF48" s="253"/>
      <c r="AG48" s="260"/>
      <c r="AH48" s="56"/>
      <c r="AJ48" s="258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Games!G21</f>
        <v>Bethune-Cookman</v>
      </c>
      <c r="D49" s="70" t="e" vm="93">
        <f>_xlfn.XLOOKUP(C49,Teams!$C:$C,Teams!$E:$E,,0,1)</f>
        <v>#VALUE!</v>
      </c>
      <c r="E49" s="46">
        <f ca="1">Games!L21</f>
        <v>106</v>
      </c>
      <c r="F49" s="259" t="str">
        <f ca="1">Games!O21</f>
        <v>Bethune-Cookman</v>
      </c>
      <c r="G49" s="262" t="e" vm="93">
        <f ca="1">_xlfn.XLOOKUP(F49,Teams!$C:$C,Teams!$E:$E,,0,1)</f>
        <v>#VALUE!</v>
      </c>
      <c r="H49" s="272">
        <f ca="1">Games!N48</f>
        <v>111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6">
        <f ca="1">Games!N56</f>
        <v>103</v>
      </c>
      <c r="AI49" s="252" t="e" vm="118">
        <f ca="1">_xlfn.XLOOKUP(AJ49,Teams!$C:$C,Teams!$E:$E,,0,1)</f>
        <v>#VALUE!</v>
      </c>
      <c r="AJ49" s="259" t="str">
        <f ca="1">Games!O37</f>
        <v>College of Charleston</v>
      </c>
      <c r="AK49" s="58">
        <f ca="1">Games!L37</f>
        <v>103</v>
      </c>
      <c r="AL49" s="46" t="e" vm="117">
        <f>_xlfn.XLOOKUP(AM49,Teams!$C:$C,Teams!$E:$E,,0,1)</f>
        <v>#VALUE!</v>
      </c>
      <c r="AM49" s="37" t="str">
        <f>Games!G37</f>
        <v>Colgate</v>
      </c>
      <c r="AN49" s="27">
        <v>4</v>
      </c>
      <c r="AO49" s="17"/>
    </row>
    <row r="50" spans="1:41" ht="10.5" customHeight="1" thickBot="1" x14ac:dyDescent="0.35">
      <c r="A50" s="258">
        <f>IF($AU$5=TRUE,A46+1,"")</f>
        <v>12</v>
      </c>
      <c r="B50" s="28"/>
      <c r="C50" s="38"/>
      <c r="D50" s="71"/>
      <c r="E50" s="49"/>
      <c r="F50" s="260"/>
      <c r="G50" s="263"/>
      <c r="H50" s="273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7"/>
      <c r="AI50" s="253"/>
      <c r="AJ50" s="260"/>
      <c r="AK50" s="55"/>
      <c r="AM50" s="39"/>
      <c r="AN50" s="28"/>
      <c r="AO50" s="280">
        <f>IF($AU$5=TRUE,AO46+1,"")</f>
        <v>28</v>
      </c>
    </row>
    <row r="51" spans="1:41" ht="13.8" customHeight="1" thickBot="1" x14ac:dyDescent="0.45">
      <c r="A51" s="258"/>
      <c r="B51" s="27">
        <v>13</v>
      </c>
      <c r="C51" s="36" t="str">
        <f>Games!I21</f>
        <v>Binghamton</v>
      </c>
      <c r="D51" s="70" t="e" vm="65">
        <f>_xlfn.XLOOKUP(C51,Teams!$C:$C,Teams!$E:$E,,0,1)</f>
        <v>#VALUE!</v>
      </c>
      <c r="E51" s="48">
        <f ca="1">Games!N21</f>
        <v>90</v>
      </c>
      <c r="F51" s="24"/>
      <c r="G51" s="24"/>
      <c r="I51" s="24"/>
      <c r="J51" s="24"/>
      <c r="K51" s="261" t="s">
        <v>4</v>
      </c>
      <c r="L51" s="261"/>
      <c r="M51" s="20"/>
      <c r="N51" s="50"/>
      <c r="O51" s="266" t="str">
        <f ca="1">Games!O70</f>
        <v>Baylor</v>
      </c>
      <c r="P51" s="262" t="e" vm="90">
        <f ca="1">_xlfn.XLOOKUP(O51,Teams!$C:$C,Teams!$E:$E,,0,1)</f>
        <v>#VALUE!</v>
      </c>
      <c r="Q51" s="272">
        <f ca="1">Games!N74</f>
        <v>106</v>
      </c>
      <c r="R51" s="25"/>
      <c r="S51" s="25"/>
      <c r="T51" s="25"/>
      <c r="U51" s="75"/>
      <c r="V51" s="25"/>
      <c r="W51" s="25"/>
      <c r="X51" s="25"/>
      <c r="Y51" s="256">
        <f ca="1">Games!N75</f>
        <v>116</v>
      </c>
      <c r="Z51" s="252" t="e" vm="115">
        <f ca="1">_xlfn.XLOOKUP(AA51,Teams!$C:$C,Teams!$E:$E,,0,1)</f>
        <v>#VALUE!</v>
      </c>
      <c r="AA51" s="259" t="str">
        <f ca="1">Games!O72</f>
        <v>Cleveland State</v>
      </c>
      <c r="AB51" s="56"/>
      <c r="AD51" s="261" t="s">
        <v>14</v>
      </c>
      <c r="AE51" s="261"/>
      <c r="AF51" s="20"/>
      <c r="AG51" s="24"/>
      <c r="AJ51" s="24"/>
      <c r="AK51" s="59">
        <f ca="1">Games!N37</f>
        <v>108</v>
      </c>
      <c r="AL51" s="46" t="e" vm="118">
        <f>_xlfn.XLOOKUP(AM51,Teams!$C:$C,Teams!$E:$E,,0,1)</f>
        <v>#VALUE!</v>
      </c>
      <c r="AM51" s="37" t="str">
        <f>Games!I37</f>
        <v>College of Charleston</v>
      </c>
      <c r="AN51" s="27">
        <v>13</v>
      </c>
      <c r="AO51" s="280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1"/>
      <c r="L52" s="261"/>
      <c r="M52" s="20"/>
      <c r="N52" s="50"/>
      <c r="O52" s="267"/>
      <c r="P52" s="263"/>
      <c r="Q52" s="273"/>
      <c r="R52" s="25"/>
      <c r="S52" s="25"/>
      <c r="T52" s="25"/>
      <c r="U52" s="75"/>
      <c r="V52" s="25"/>
      <c r="W52" s="25"/>
      <c r="X52" s="25"/>
      <c r="Y52" s="257"/>
      <c r="Z52" s="253"/>
      <c r="AA52" s="260"/>
      <c r="AB52" s="56"/>
      <c r="AD52" s="261"/>
      <c r="AE52" s="261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Games!G22</f>
        <v>Boise State</v>
      </c>
      <c r="D53" s="70" t="e" vm="66">
        <f>_xlfn.XLOOKUP(C53,Teams!$C:$C,Teams!$E:$E,,0,1)</f>
        <v>#VALUE!</v>
      </c>
      <c r="E53" s="46">
        <f ca="1">Games!L22</f>
        <v>106</v>
      </c>
      <c r="F53" s="259" t="str">
        <f ca="1">Games!O22</f>
        <v>Boise State</v>
      </c>
      <c r="G53" s="262" t="e" vm="66">
        <f ca="1">_xlfn.XLOOKUP(F53,Teams!$C:$C,Teams!$E:$E,,0,1)</f>
        <v>#VALUE!</v>
      </c>
      <c r="H53" s="254">
        <f ca="1">Games!L49</f>
        <v>110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4">
        <f ca="1">Games!L57</f>
        <v>91</v>
      </c>
      <c r="AI53" s="252" t="e" vm="120">
        <f ca="1">_xlfn.XLOOKUP(AJ53,Teams!$C:$C,Teams!$E:$E,,0,1)</f>
        <v>#VALUE!</v>
      </c>
      <c r="AJ53" s="259" t="str">
        <f ca="1">Games!O38</f>
        <v>Colorado State</v>
      </c>
      <c r="AK53" s="58">
        <f ca="1">Games!L38</f>
        <v>108</v>
      </c>
      <c r="AL53" s="46" t="e" vm="119">
        <f>_xlfn.XLOOKUP(AM53,Teams!$C:$C,Teams!$E:$E,,0,1)</f>
        <v>#VALUE!</v>
      </c>
      <c r="AM53" s="37" t="str">
        <f>Games!G38</f>
        <v>Colorado</v>
      </c>
      <c r="AN53" s="27">
        <v>6</v>
      </c>
      <c r="AO53" s="17"/>
    </row>
    <row r="54" spans="1:41" ht="10.5" customHeight="1" thickBot="1" x14ac:dyDescent="0.35">
      <c r="A54" s="258">
        <f>IF($AU$5=TRUE,A50+1,"")</f>
        <v>13</v>
      </c>
      <c r="B54" s="28"/>
      <c r="C54" s="38"/>
      <c r="D54" s="71"/>
      <c r="E54" s="49"/>
      <c r="F54" s="260"/>
      <c r="G54" s="263"/>
      <c r="H54" s="255"/>
      <c r="I54" s="24"/>
      <c r="J54" s="24"/>
      <c r="L54" s="25"/>
      <c r="M54" s="25"/>
      <c r="N54" s="50"/>
      <c r="O54" s="25"/>
      <c r="P54" s="289" t="s">
        <v>1203</v>
      </c>
      <c r="Q54" s="289"/>
      <c r="R54" s="289"/>
      <c r="S54" s="289"/>
      <c r="T54" s="289"/>
      <c r="U54" s="289"/>
      <c r="V54" s="289"/>
      <c r="W54" s="289"/>
      <c r="X54" s="289"/>
      <c r="Y54" s="289"/>
      <c r="AA54" s="25"/>
      <c r="AB54" s="56"/>
      <c r="AD54" s="25"/>
      <c r="AG54" s="24"/>
      <c r="AH54" s="255"/>
      <c r="AI54" s="253"/>
      <c r="AJ54" s="260"/>
      <c r="AK54" s="55"/>
      <c r="AM54" s="39"/>
      <c r="AN54" s="28"/>
      <c r="AO54" s="280">
        <f>IF($AU$5=TRUE,AO50+1,"")</f>
        <v>29</v>
      </c>
    </row>
    <row r="55" spans="1:41" ht="13.8" customHeight="1" thickBot="1" x14ac:dyDescent="0.35">
      <c r="A55" s="258"/>
      <c r="B55" s="27">
        <v>11</v>
      </c>
      <c r="C55" s="36" t="str">
        <f>Games!I22</f>
        <v>Boston College</v>
      </c>
      <c r="D55" s="70" t="e" vm="67">
        <f>_xlfn.XLOOKUP(C55,Teams!$C:$C,Teams!$E:$E,,0,1)</f>
        <v>#VALUE!</v>
      </c>
      <c r="E55" s="48">
        <f ca="1">Games!N22</f>
        <v>104</v>
      </c>
      <c r="F55" s="279">
        <f>IF($AU$5=TRUE,F47+1,"")</f>
        <v>39</v>
      </c>
      <c r="G55" s="14"/>
      <c r="H55" s="49"/>
      <c r="I55" s="266" t="str">
        <f ca="1">Games!O49</f>
        <v>Boise State</v>
      </c>
      <c r="J55" s="262" t="e" vm="66">
        <f ca="1">_xlfn.XLOOKUP(I55,Teams!$C:$C,Teams!$E:$E,,0,1)</f>
        <v>#VALUE!</v>
      </c>
      <c r="K55" s="254">
        <f ca="1">Games!L63</f>
        <v>103</v>
      </c>
      <c r="L55" s="25"/>
      <c r="M55" s="25"/>
      <c r="N55" s="50"/>
      <c r="O55" s="25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AA55" s="25"/>
      <c r="AB55" s="56"/>
      <c r="AD55" s="25"/>
      <c r="AE55" s="254">
        <f ca="1">Games!L67</f>
        <v>116</v>
      </c>
      <c r="AF55" s="252" t="e" vm="122">
        <f ca="1">_xlfn.XLOOKUP(AG55,Teams!$C:$C,Teams!$E:$E,,0,1)</f>
        <v>#VALUE!</v>
      </c>
      <c r="AG55" s="259" t="str">
        <f ca="1">Games!O57</f>
        <v>Connecticut</v>
      </c>
      <c r="AH55" s="55"/>
      <c r="AI55" s="51"/>
      <c r="AJ55" s="279">
        <f>IF($AU$5=TRUE,AJ47+1,"")</f>
        <v>47</v>
      </c>
      <c r="AK55" s="59">
        <f ca="1">Games!N38</f>
        <v>114</v>
      </c>
      <c r="AL55" s="46" t="e" vm="120">
        <f>_xlfn.XLOOKUP(AM55,Teams!$C:$C,Teams!$E:$E,,0,1)</f>
        <v>#VALUE!</v>
      </c>
      <c r="AM55" s="37" t="str">
        <f>Games!I38</f>
        <v>Colorado State</v>
      </c>
      <c r="AN55" s="32">
        <v>11</v>
      </c>
      <c r="AO55" s="280"/>
    </row>
    <row r="56" spans="1:41" ht="10.5" customHeight="1" thickBot="1" x14ac:dyDescent="0.35">
      <c r="A56" s="16"/>
      <c r="B56" s="28"/>
      <c r="C56" s="38"/>
      <c r="D56" s="71"/>
      <c r="F56" s="258"/>
      <c r="G56" s="15"/>
      <c r="H56" s="50"/>
      <c r="I56" s="267"/>
      <c r="J56" s="263"/>
      <c r="K56" s="25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5"/>
      <c r="AF56" s="253"/>
      <c r="AG56" s="260"/>
      <c r="AH56" s="56"/>
      <c r="AJ56" s="258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Games!G23</f>
        <v>Florida</v>
      </c>
      <c r="D57" s="70" t="e" vm="68">
        <f>_xlfn.XLOOKUP(C57,Teams!$C:$C,Teams!$E:$E,,0,1)</f>
        <v>#VALUE!</v>
      </c>
      <c r="E57" s="46">
        <f ca="1">Games!L23</f>
        <v>110</v>
      </c>
      <c r="F57" s="259" t="str">
        <f ca="1">Games!O23</f>
        <v>Duke</v>
      </c>
      <c r="G57" s="262" t="e" vm="69">
        <f ca="1">_xlfn.XLOOKUP(F57,Teams!$C:$C,Teams!$E:$E,,0,1)</f>
        <v>#VALUE!</v>
      </c>
      <c r="H57" s="272">
        <f ca="1">Games!N49</f>
        <v>102</v>
      </c>
      <c r="I57" s="24"/>
      <c r="J57" s="24"/>
      <c r="K57" s="49"/>
      <c r="L57" s="25"/>
      <c r="M57" s="25"/>
      <c r="N57" s="50"/>
      <c r="O57" s="25"/>
      <c r="P57" s="285"/>
      <c r="Q57" s="286"/>
      <c r="R57" s="286"/>
      <c r="S57" s="287"/>
      <c r="T57" s="25"/>
      <c r="U57" s="75"/>
      <c r="V57" s="285"/>
      <c r="W57" s="286"/>
      <c r="X57" s="286"/>
      <c r="Y57" s="287"/>
      <c r="AA57" s="25"/>
      <c r="AB57" s="56"/>
      <c r="AD57" s="25"/>
      <c r="AE57" s="55"/>
      <c r="AG57" s="24"/>
      <c r="AH57" s="256">
        <f ca="1">Games!N57</f>
        <v>114</v>
      </c>
      <c r="AI57" s="252" t="e" vm="122">
        <f ca="1">_xlfn.XLOOKUP(AJ57,Teams!$C:$C,Teams!$E:$E,,0,1)</f>
        <v>#VALUE!</v>
      </c>
      <c r="AJ57" s="259" t="str">
        <f ca="1">Games!O39</f>
        <v>Connecticut</v>
      </c>
      <c r="AK57" s="58">
        <f ca="1">Games!L39</f>
        <v>108</v>
      </c>
      <c r="AL57" s="46" t="e" vm="121">
        <f>_xlfn.XLOOKUP(AM57,Teams!$C:$C,Teams!$E:$E,,0,1)</f>
        <v>#VALUE!</v>
      </c>
      <c r="AM57" s="37" t="str">
        <f>Games!G39</f>
        <v>Columbia</v>
      </c>
      <c r="AN57" s="27">
        <v>3</v>
      </c>
      <c r="AO57" s="17"/>
    </row>
    <row r="58" spans="1:41" ht="10.5" customHeight="1" thickBot="1" x14ac:dyDescent="0.35">
      <c r="A58" s="258">
        <f>IF($AU$5=TRUE,A54+1,"")</f>
        <v>14</v>
      </c>
      <c r="B58" s="28"/>
      <c r="C58" s="38"/>
      <c r="D58" s="71"/>
      <c r="E58" s="49"/>
      <c r="F58" s="260"/>
      <c r="G58" s="263"/>
      <c r="H58" s="273"/>
      <c r="I58" s="24"/>
      <c r="J58" s="24"/>
      <c r="K58" s="50"/>
      <c r="L58" s="25"/>
      <c r="M58" s="25"/>
      <c r="N58" s="50"/>
      <c r="O58" s="25"/>
      <c r="P58" s="291"/>
      <c r="Q58" s="292"/>
      <c r="R58" s="292"/>
      <c r="S58" s="293"/>
      <c r="T58" s="25"/>
      <c r="U58" s="75"/>
      <c r="V58" s="291"/>
      <c r="W58" s="292"/>
      <c r="X58" s="292"/>
      <c r="Y58" s="293"/>
      <c r="AA58" s="25"/>
      <c r="AB58" s="56"/>
      <c r="AD58" s="25"/>
      <c r="AE58" s="56"/>
      <c r="AG58" s="24"/>
      <c r="AH58" s="257"/>
      <c r="AI58" s="253"/>
      <c r="AJ58" s="260"/>
      <c r="AK58" s="55"/>
      <c r="AM58" s="39"/>
      <c r="AN58" s="28"/>
      <c r="AO58" s="280">
        <f>IF($AU$5=TRUE,AO54+1,"")</f>
        <v>30</v>
      </c>
    </row>
    <row r="59" spans="1:41" ht="13.8" customHeight="1" thickBot="1" x14ac:dyDescent="0.35">
      <c r="A59" s="258"/>
      <c r="B59" s="27">
        <v>14</v>
      </c>
      <c r="C59" s="36" t="str">
        <f>Games!I23</f>
        <v>Duke</v>
      </c>
      <c r="D59" s="70" t="e" vm="69">
        <f>_xlfn.XLOOKUP(C59,Teams!$C:$C,Teams!$E:$E,,0,1)</f>
        <v>#VALUE!</v>
      </c>
      <c r="E59" s="48">
        <f ca="1">Games!N23</f>
        <v>117</v>
      </c>
      <c r="F59" s="24"/>
      <c r="G59" s="24"/>
      <c r="I59" s="258">
        <f>IF($AU$5=TRUE,I43+1,"")</f>
        <v>52</v>
      </c>
      <c r="J59" s="15"/>
      <c r="K59" s="50"/>
      <c r="L59" s="266" t="str">
        <f ca="1">Games!O63</f>
        <v>Bryant</v>
      </c>
      <c r="M59" s="262" t="e" vm="94">
        <f ca="1">_xlfn.XLOOKUP(L59,Teams!$C:$C,Teams!$E:$E,,0,1)</f>
        <v>#VALUE!</v>
      </c>
      <c r="N59" s="272">
        <f ca="1">Games!N70</f>
        <v>105</v>
      </c>
      <c r="O59" s="24"/>
      <c r="P59" s="25"/>
      <c r="R59" s="25"/>
      <c r="S59" s="25"/>
      <c r="T59" s="25"/>
      <c r="U59" s="75"/>
      <c r="AA59" s="25"/>
      <c r="AB59" s="256">
        <f ca="1">Games!N72</f>
        <v>93</v>
      </c>
      <c r="AC59" s="252" t="e" vm="122">
        <f ca="1">_xlfn.XLOOKUP(AD59,Teams!$C:$C,Teams!$E:$E,,0,1)</f>
        <v>#VALUE!</v>
      </c>
      <c r="AD59" s="259" t="str">
        <f ca="1">Games!O67</f>
        <v>Connecticut</v>
      </c>
      <c r="AE59" s="56"/>
      <c r="AG59" s="258">
        <f>IF($AU$5=TRUE,AG43+1,"")</f>
        <v>56</v>
      </c>
      <c r="AJ59" s="24"/>
      <c r="AK59" s="59">
        <f ca="1">Games!N39</f>
        <v>119</v>
      </c>
      <c r="AL59" s="46" t="e" vm="122">
        <f>_xlfn.XLOOKUP(AM59,Teams!$C:$C,Teams!$E:$E,,0,1)</f>
        <v>#VALUE!</v>
      </c>
      <c r="AM59" s="37" t="str">
        <f>Games!I39</f>
        <v>Connecticut</v>
      </c>
      <c r="AN59" s="27">
        <v>14</v>
      </c>
      <c r="AO59" s="280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8"/>
      <c r="J60" s="15"/>
      <c r="K60" s="50"/>
      <c r="L60" s="267"/>
      <c r="M60" s="263"/>
      <c r="N60" s="273"/>
      <c r="O60" s="25"/>
      <c r="P60" s="285"/>
      <c r="Q60" s="286"/>
      <c r="R60" s="286"/>
      <c r="S60" s="287"/>
      <c r="T60" s="25"/>
      <c r="U60" s="75"/>
      <c r="V60" s="285"/>
      <c r="W60" s="286"/>
      <c r="X60" s="286"/>
      <c r="Y60" s="287"/>
      <c r="AA60" s="25"/>
      <c r="AB60" s="257"/>
      <c r="AC60" s="253"/>
      <c r="AD60" s="260"/>
      <c r="AE60" s="56"/>
      <c r="AG60" s="258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Games!G24</f>
        <v>Bradley</v>
      </c>
      <c r="D61" s="70" t="e" vm="70">
        <f>_xlfn.XLOOKUP(C61,Teams!$C:$C,Teams!$E:$E,,0,1)</f>
        <v>#VALUE!</v>
      </c>
      <c r="E61" s="46">
        <f ca="1">Games!L24</f>
        <v>99</v>
      </c>
      <c r="F61" s="259" t="str">
        <f ca="1">Games!O24</f>
        <v>Brigham Young</v>
      </c>
      <c r="G61" s="262" t="e" vm="71">
        <f ca="1">_xlfn.XLOOKUP(F61,Teams!$C:$C,Teams!$E:$E,,0,1)</f>
        <v>#VALUE!</v>
      </c>
      <c r="H61" s="254">
        <f ca="1">Games!L50</f>
        <v>109</v>
      </c>
      <c r="I61" s="24"/>
      <c r="J61" s="24"/>
      <c r="K61" s="50"/>
      <c r="L61" s="25"/>
      <c r="M61" s="25"/>
      <c r="O61" s="25"/>
      <c r="P61" s="291"/>
      <c r="Q61" s="292"/>
      <c r="R61" s="292"/>
      <c r="S61" s="293"/>
      <c r="T61" s="25"/>
      <c r="U61" s="75"/>
      <c r="V61" s="291"/>
      <c r="W61" s="292"/>
      <c r="X61" s="292"/>
      <c r="Y61" s="293"/>
      <c r="AA61" s="25"/>
      <c r="AD61" s="25"/>
      <c r="AE61" s="56"/>
      <c r="AG61" s="24"/>
      <c r="AH61" s="254">
        <f ca="1">Games!L58</f>
        <v>97</v>
      </c>
      <c r="AI61" s="252" t="e" vm="123">
        <f ca="1">_xlfn.XLOOKUP(AJ61,Teams!$C:$C,Teams!$E:$E,,0,1)</f>
        <v>#VALUE!</v>
      </c>
      <c r="AJ61" s="259" t="str">
        <f ca="1">Games!O40</f>
        <v>Coppin State</v>
      </c>
      <c r="AK61" s="58">
        <f ca="1">Games!L40</f>
        <v>111</v>
      </c>
      <c r="AL61" s="46" t="e" vm="123">
        <f>_xlfn.XLOOKUP(AM61,Teams!$C:$C,Teams!$E:$E,,0,1)</f>
        <v>#VALUE!</v>
      </c>
      <c r="AM61" s="37" t="str">
        <f>Games!G40</f>
        <v>Coppin State</v>
      </c>
      <c r="AN61" s="27">
        <v>7</v>
      </c>
      <c r="AO61" s="17"/>
    </row>
    <row r="62" spans="1:41" ht="10.5" customHeight="1" thickBot="1" x14ac:dyDescent="0.35">
      <c r="A62" s="258">
        <f>IF($AU$5=TRUE,A58+1,"")</f>
        <v>15</v>
      </c>
      <c r="B62" s="28"/>
      <c r="C62" s="38"/>
      <c r="D62" s="71"/>
      <c r="E62" s="49"/>
      <c r="F62" s="260"/>
      <c r="G62" s="263"/>
      <c r="H62" s="25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AA62" s="25"/>
      <c r="AD62" s="25"/>
      <c r="AE62" s="56"/>
      <c r="AG62" s="24"/>
      <c r="AH62" s="255"/>
      <c r="AI62" s="253"/>
      <c r="AJ62" s="260"/>
      <c r="AK62" s="55"/>
      <c r="AM62" s="39"/>
      <c r="AN62" s="28"/>
      <c r="AO62" s="280">
        <f>IF($AU$5=TRUE,AO58+1,"")</f>
        <v>31</v>
      </c>
    </row>
    <row r="63" spans="1:41" ht="13.8" customHeight="1" thickBot="1" x14ac:dyDescent="0.35">
      <c r="A63" s="258"/>
      <c r="B63" s="27">
        <v>10</v>
      </c>
      <c r="C63" s="36" t="str">
        <f>Games!I24</f>
        <v>Brigham Young</v>
      </c>
      <c r="D63" s="70" t="e" vm="71">
        <f>_xlfn.XLOOKUP(C63,Teams!$C:$C,Teams!$E:$E,,0,1)</f>
        <v>#VALUE!</v>
      </c>
      <c r="E63" s="48">
        <f ca="1">Games!N24</f>
        <v>110</v>
      </c>
      <c r="F63" s="279">
        <f>IF($AU$5=TRUE,F55+1,"")</f>
        <v>40</v>
      </c>
      <c r="G63" s="14"/>
      <c r="H63" s="49"/>
      <c r="I63" s="266" t="str">
        <f ca="1">Games!O50</f>
        <v>Bryant</v>
      </c>
      <c r="J63" s="262" t="e" vm="94">
        <f ca="1">_xlfn.XLOOKUP(I63,Teams!$C:$C,Teams!$E:$E,,0,1)</f>
        <v>#VALUE!</v>
      </c>
      <c r="K63" s="272">
        <f ca="1">Games!N63</f>
        <v>111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6">
        <f ca="1">Games!N67</f>
        <v>104</v>
      </c>
      <c r="AF63" s="252" t="e" vm="125">
        <f ca="1">_xlfn.XLOOKUP(AG63,Teams!$C:$C,Teams!$E:$E,,0,1)</f>
        <v>#VALUE!</v>
      </c>
      <c r="AG63" s="259" t="str">
        <f ca="1">Games!O58</f>
        <v>Creighton</v>
      </c>
      <c r="AH63" s="55"/>
      <c r="AI63" s="51"/>
      <c r="AJ63" s="279">
        <f>IF($AU$5=TRUE,AJ55+1,"")</f>
        <v>48</v>
      </c>
      <c r="AK63" s="59">
        <f ca="1">Games!N40</f>
        <v>100</v>
      </c>
      <c r="AL63" s="46" t="e" vm="124">
        <f>_xlfn.XLOOKUP(AM63,Teams!$C:$C,Teams!$E:$E,,0,1)</f>
        <v>#VALUE!</v>
      </c>
      <c r="AM63" s="37" t="str">
        <f>Games!I40</f>
        <v>Cornell</v>
      </c>
      <c r="AN63" s="27">
        <v>10</v>
      </c>
      <c r="AO63" s="280"/>
    </row>
    <row r="64" spans="1:41" ht="10.5" customHeight="1" thickBot="1" x14ac:dyDescent="0.35">
      <c r="A64" s="16"/>
      <c r="B64" s="28"/>
      <c r="C64" s="38"/>
      <c r="D64" s="71"/>
      <c r="F64" s="258"/>
      <c r="G64" s="15"/>
      <c r="H64" s="50"/>
      <c r="I64" s="267"/>
      <c r="J64" s="263"/>
      <c r="K64" s="273"/>
      <c r="L64" s="25"/>
      <c r="M64" s="25"/>
      <c r="O64" s="25"/>
      <c r="P64" s="285"/>
      <c r="Q64" s="286"/>
      <c r="R64" s="286"/>
      <c r="S64" s="287"/>
      <c r="T64" s="25"/>
      <c r="U64" s="75"/>
      <c r="V64" s="285"/>
      <c r="W64" s="286"/>
      <c r="X64" s="286"/>
      <c r="Y64" s="287"/>
      <c r="Z64" s="57"/>
      <c r="AA64" s="25"/>
      <c r="AD64" s="25"/>
      <c r="AE64" s="257"/>
      <c r="AF64" s="253"/>
      <c r="AG64" s="260"/>
      <c r="AH64" s="56"/>
      <c r="AJ64" s="258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Games!G25</f>
        <v>Brown</v>
      </c>
      <c r="D65" s="70" t="e" vm="72">
        <f>_xlfn.XLOOKUP(C65,Teams!$C:$C,Teams!$E:$E,,0,1)</f>
        <v>#VALUE!</v>
      </c>
      <c r="E65" s="46">
        <f ca="1">Games!L25</f>
        <v>107</v>
      </c>
      <c r="F65" s="259" t="str">
        <f ca="1">Games!O25</f>
        <v>Bryant</v>
      </c>
      <c r="G65" s="262" t="e" vm="94">
        <f ca="1">_xlfn.XLOOKUP(F65,Teams!$C:$C,Teams!$E:$E,,0,1)</f>
        <v>#VALUE!</v>
      </c>
      <c r="H65" s="272">
        <f ca="1">Games!N50</f>
        <v>112</v>
      </c>
      <c r="I65" s="25"/>
      <c r="J65" s="25"/>
      <c r="L65" s="25"/>
      <c r="M65" s="25"/>
      <c r="O65" s="25"/>
      <c r="P65" s="291"/>
      <c r="Q65" s="292"/>
      <c r="R65" s="292"/>
      <c r="S65" s="293"/>
      <c r="T65" s="25"/>
      <c r="U65" s="75"/>
      <c r="V65" s="291"/>
      <c r="W65" s="292"/>
      <c r="X65" s="292"/>
      <c r="Y65" s="293"/>
      <c r="Z65" s="57"/>
      <c r="AA65" s="25"/>
      <c r="AD65" s="25"/>
      <c r="AG65" s="24"/>
      <c r="AH65" s="256">
        <f ca="1">Games!N58</f>
        <v>112</v>
      </c>
      <c r="AI65" s="252" t="e" vm="125">
        <f ca="1">_xlfn.XLOOKUP(AJ65,Teams!$C:$C,Teams!$E:$E,,0,1)</f>
        <v>#VALUE!</v>
      </c>
      <c r="AJ65" s="259" t="str">
        <f ca="1">Games!O41</f>
        <v>Creighton</v>
      </c>
      <c r="AK65" s="58">
        <f ca="1">Games!L41</f>
        <v>120</v>
      </c>
      <c r="AL65" s="46" t="e" vm="125">
        <f>_xlfn.XLOOKUP(AM65,Teams!$C:$C,Teams!$E:$E,,0,1)</f>
        <v>#VALUE!</v>
      </c>
      <c r="AM65" s="37" t="str">
        <f>Games!G41</f>
        <v>Creighton</v>
      </c>
      <c r="AN65" s="27">
        <v>2</v>
      </c>
      <c r="AO65" s="17"/>
    </row>
    <row r="66" spans="1:41" ht="10.5" customHeight="1" thickBot="1" x14ac:dyDescent="0.35">
      <c r="A66" s="258">
        <f>IF($AU$5=TRUE,A62+1,"")</f>
        <v>16</v>
      </c>
      <c r="B66" s="28"/>
      <c r="C66" s="38"/>
      <c r="D66" s="71"/>
      <c r="E66" s="49"/>
      <c r="F66" s="260"/>
      <c r="G66" s="263"/>
      <c r="H66" s="273"/>
      <c r="I66" s="25"/>
      <c r="J66" s="25"/>
      <c r="L66" s="25"/>
      <c r="M66" s="25"/>
      <c r="O66" s="301"/>
      <c r="P66" s="301"/>
      <c r="Q66" s="301"/>
      <c r="R66" s="301"/>
      <c r="S66" s="301"/>
      <c r="T66" s="301"/>
      <c r="U66" s="301"/>
      <c r="Z66" s="301"/>
      <c r="AA66" s="301"/>
      <c r="AD66" s="25"/>
      <c r="AG66" s="24"/>
      <c r="AH66" s="257"/>
      <c r="AI66" s="253"/>
      <c r="AJ66" s="260"/>
      <c r="AK66" s="55"/>
      <c r="AM66" s="39"/>
      <c r="AN66" s="28"/>
      <c r="AO66" s="280">
        <f>IF($AU$5=TRUE,AO62+1,"")</f>
        <v>32</v>
      </c>
    </row>
    <row r="67" spans="1:41" ht="13.8" customHeight="1" thickBot="1" x14ac:dyDescent="0.35">
      <c r="A67" s="258"/>
      <c r="B67" s="27">
        <v>15</v>
      </c>
      <c r="C67" s="36" t="str">
        <f>Games!I25</f>
        <v>Bryant</v>
      </c>
      <c r="D67" s="70" t="e" vm="94">
        <f>_xlfn.XLOOKUP(C67,Teams!$C:$C,Teams!$E:$E,,0,1)</f>
        <v>#VALUE!</v>
      </c>
      <c r="E67" s="48">
        <f ca="1">Games!N25</f>
        <v>107</v>
      </c>
      <c r="F67" s="25"/>
      <c r="G67" s="25"/>
      <c r="I67" s="25"/>
      <c r="J67" s="25"/>
      <c r="L67" s="25"/>
      <c r="M67" s="25"/>
      <c r="O67" s="300"/>
      <c r="P67" s="285"/>
      <c r="Q67" s="286"/>
      <c r="R67" s="286"/>
      <c r="S67" s="287"/>
      <c r="T67" s="300"/>
      <c r="U67" s="300"/>
      <c r="V67" s="285"/>
      <c r="W67" s="286"/>
      <c r="X67" s="286"/>
      <c r="Y67" s="287"/>
      <c r="Z67" s="300"/>
      <c r="AA67" s="300"/>
      <c r="AD67" s="25"/>
      <c r="AG67" s="25"/>
      <c r="AJ67" s="24"/>
      <c r="AK67" s="59">
        <f ca="1">Games!N41</f>
        <v>119</v>
      </c>
      <c r="AL67" s="46" t="e" vm="126">
        <f>_xlfn.XLOOKUP(AM67,Teams!$C:$C,Teams!$E:$E,,0,1)</f>
        <v>#VALUE!</v>
      </c>
      <c r="AM67" s="37" t="str">
        <f>Games!I41</f>
        <v>Dartmouth</v>
      </c>
      <c r="AN67" s="27">
        <v>15</v>
      </c>
      <c r="AO67" s="280"/>
    </row>
    <row r="68" spans="1:41" ht="16.2" thickBot="1" x14ac:dyDescent="0.35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91"/>
      <c r="Q68" s="292"/>
      <c r="R68" s="292"/>
      <c r="S68" s="293"/>
      <c r="T68" s="53"/>
      <c r="U68" s="76"/>
      <c r="V68" s="291"/>
      <c r="W68" s="292"/>
      <c r="X68" s="292"/>
      <c r="Y68" s="293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65">
    <mergeCell ref="P60:S61"/>
    <mergeCell ref="V57:Y58"/>
    <mergeCell ref="V60:Y61"/>
    <mergeCell ref="P64:S65"/>
    <mergeCell ref="P67:S68"/>
    <mergeCell ref="V64:Y65"/>
    <mergeCell ref="V67:Y68"/>
    <mergeCell ref="P54:Y55"/>
    <mergeCell ref="M11:M12"/>
    <mergeCell ref="AC11:AC12"/>
    <mergeCell ref="T11:V19"/>
    <mergeCell ref="AF15:AF1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H41:H42"/>
    <mergeCell ref="F29:F30"/>
    <mergeCell ref="H29:H30"/>
    <mergeCell ref="F25:F26"/>
    <mergeCell ref="H25:H2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A62:A63"/>
    <mergeCell ref="A50:A51"/>
    <mergeCell ref="A54:A55"/>
    <mergeCell ref="G37:G38"/>
    <mergeCell ref="G33:G34"/>
    <mergeCell ref="G57:G58"/>
    <mergeCell ref="G53:G54"/>
    <mergeCell ref="G49:G50"/>
    <mergeCell ref="G45:G46"/>
    <mergeCell ref="G41:G42"/>
    <mergeCell ref="J23:J24"/>
    <mergeCell ref="G25:G26"/>
    <mergeCell ref="H13:H14"/>
    <mergeCell ref="G9:G10"/>
    <mergeCell ref="G17:G18"/>
    <mergeCell ref="H21:H22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AJ45:AJ46"/>
    <mergeCell ref="F41:F42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I59:I60"/>
    <mergeCell ref="M59:M60"/>
    <mergeCell ref="J63:J64"/>
    <mergeCell ref="N59:N60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I31:I32"/>
    <mergeCell ref="I27:I28"/>
    <mergeCell ref="K39:K40"/>
    <mergeCell ref="N27:N28"/>
    <mergeCell ref="L27:L28"/>
    <mergeCell ref="Q51:Q52"/>
    <mergeCell ref="K47:K48"/>
    <mergeCell ref="L43:L44"/>
    <mergeCell ref="I63:I64"/>
    <mergeCell ref="K63:K64"/>
    <mergeCell ref="P57:S58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Team_Links</vt:lpstr>
      <vt:lpstr>2024 Roster (Wikipedia)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Gallante</cp:lastModifiedBy>
  <cp:lastPrinted>2018-03-12T04:22:21Z</cp:lastPrinted>
  <dcterms:created xsi:type="dcterms:W3CDTF">2012-02-10T03:16:24Z</dcterms:created>
  <dcterms:modified xsi:type="dcterms:W3CDTF">2026-02-23T04:31:31Z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